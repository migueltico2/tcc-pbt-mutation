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Mutantes" sheetId="2" state="visible" r:id="rId4"/>
    <sheet name="Resumo" sheetId="3" state="visible" r:id="rId5"/>
  </sheets>
  <definedNames>
    <definedName function="false" hidden="true" localSheetId="1" name="_xlnm._FilterDatabase" vbProcedure="false">Mutantes!$A$1:$T$402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Preencha só se discordar (ou para confirmar). Use a lista suspensa.</t>
        </r>
      </text>
    </comment>
  </commentList>
</comments>
</file>

<file path=xl/sharedStrings.xml><?xml version="1.0" encoding="utf-8"?>
<sst xmlns="http://schemas.openxmlformats.org/spreadsheetml/2006/main" count="4064" uniqueCount="606">
  <si>
    <t xml:space="preserve">Revisão da classificação dos mutantes não detectados</t>
  </si>
  <si>
    <t xml:space="preserve">Cada linha da aba Mutantes é um mutante distinto, em uma combinação de ecossistema e suíte, que não foi detectado em ao menos uma das 90 execuções (3 níveis de tentativas × 30).</t>
  </si>
  <si>
    <t xml:space="preserve">As colunas até "Justificativa (pré-classificação)" vêm da análise automática e da leitura do código. Não é preciso alterá-las.</t>
  </si>
  <si>
    <t xml:space="preserve">O que preencher: só as células em amarelo, na aba Mutantes. Em "Classe revisada", escolha uma classe na lista suspensa SOMENTE se discordar da pré-classificação ou quiser confirmá-la explicitamente. Em "Comentário do revisor", escreva o motivo quando discordar.</t>
  </si>
  <si>
    <t xml:space="preserve">A coluna "Classe final" usa a classe revisada quando preenchida e, senão, a pré-classificação. A coluna "Concorda?" fica vermelha quando há divergência. A aba Resumo atualiza sozinha.</t>
  </si>
  <si>
    <t xml:space="preserve">A linha 2 da aba Mutantes traz um exemplo de preenchimento (em cinza) e não entra nas contagens.</t>
  </si>
  <si>
    <t xml:space="preserve">Definição das classes</t>
  </si>
  <si>
    <t xml:space="preserve">entrada não gerada: O oráculo detecta o defeito, mas só quando o gerador produz a entrada que o revela (em geral um valor exato de limite). Inclui mutantes detectados em parte das execuções.</t>
  </si>
  <si>
    <t xml:space="preserve">oráculo fraco: Nunca detectado, embora a regra seja verificada por alguma propriedade da suíte: a propriedade exercita o trecho mas não observa a diferença.</t>
  </si>
  <si>
    <t xml:space="preserve">regra sem propriedade: Nunca detectado, e a regra que o trecho implementa não é verificada por nenhuma propriedade da suíte.</t>
  </si>
  <si>
    <t xml:space="preserve">equivalente: Nenhuma entrada permitida pelo SPEC distingue o mutante do original na API de domínio.</t>
  </si>
  <si>
    <t xml:space="preserve">Nº</t>
  </si>
  <si>
    <t xml:space="preserve">Ecossistema</t>
  </si>
  <si>
    <t xml:space="preserve">Suíte</t>
  </si>
  <si>
    <t xml:space="preserve">Arquivo</t>
  </si>
  <si>
    <t xml:space="preserve">Linha</t>
  </si>
  <si>
    <t xml:space="preserve">Código</t>
  </si>
  <si>
    <t xml:space="preserve">Mutação</t>
  </si>
  <si>
    <t xml:space="preserve">Regra</t>
  </si>
  <si>
    <t xml:space="preserve">Detectado em (de 90)</t>
  </si>
  <si>
    <t xml:space="preserve">Taxa t=10</t>
  </si>
  <si>
    <t xml:space="preserve">Taxa t=100</t>
  </si>
  <si>
    <t xml:space="preserve">Taxa t=1000</t>
  </si>
  <si>
    <t xml:space="preserve">Suíte forte detecta?</t>
  </si>
  <si>
    <t xml:space="preserve">Pré-classificação</t>
  </si>
  <si>
    <t xml:space="preserve">Justificativa (pré-classificação)</t>
  </si>
  <si>
    <t xml:space="preserve">Classe revisada</t>
  </si>
  <si>
    <t xml:space="preserve">Comentário do revisor</t>
  </si>
  <si>
    <t xml:space="preserve">Classe final</t>
  </si>
  <si>
    <t xml:space="preserve">Concorda?</t>
  </si>
  <si>
    <t xml:space="preserve">ID do mutante (não editar)</t>
  </si>
  <si>
    <t xml:space="preserve">ex.</t>
  </si>
  <si>
    <t xml:space="preserve">java</t>
  </si>
  <si>
    <t xml:space="preserve">fraca</t>
  </si>
  <si>
    <t xml:space="preserve">CalculadoraPreco.java</t>
  </si>
  <si>
    <t xml:space="preserve">if (subtotal &lt; cupom.getMinimoCentavos()) {</t>
  </si>
  <si>
    <t xml:space="preserve">changed conditional boundary</t>
  </si>
  <si>
    <t xml:space="preserve">R12</t>
  </si>
  <si>
    <t xml:space="preserve">sim</t>
  </si>
  <si>
    <t xml:space="preserve">entrada não gerada</t>
  </si>
  <si>
    <t xml:space="preserve">o defeito só aparece com subtotal igual ao mínimo do cupom</t>
  </si>
  <si>
    <t xml:space="preserve">concordo: P9 pegaria se o gerador produzisse subtotal = mínimo</t>
  </si>
  <si>
    <t xml:space="preserve">forte</t>
  </si>
  <si>
    <t xml:space="preserve">public long getDesconto() { return desconto; }</t>
  </si>
  <si>
    <t xml:space="preserve">replaced long return with 0 for br/pucminas/tcc/ingressos/domain/CalculadoraPreco$Totais::getDesconto</t>
  </si>
  <si>
    <t xml:space="preserve">R13</t>
  </si>
  <si>
    <t xml:space="preserve">detectado em 88 de 90 execuções; depende de o gerador produzir a entrada que revela o defeito</t>
  </si>
  <si>
    <t xml:space="preserve">CalculadoraPreco$Totais.getDesconto:40:PrimitiveReturnsMutator:5</t>
  </si>
  <si>
    <t xml:space="preserve">if (cupom == null) {</t>
  </si>
  <si>
    <t xml:space="preserve">removed conditional - replaced equality check with true</t>
  </si>
  <si>
    <t xml:space="preserve">detectado em 71 de 90 execuções; depende de o gerador produzir a entrada que revela o defeito</t>
  </si>
  <si>
    <t xml:space="preserve">CalculadoraPreco.desconto:55:RemoveConditionalMutator_EQUAL_IF:4</t>
  </si>
  <si>
    <t xml:space="preserve">if (hoje.compareTo(cupom.getValidoAte()) &gt; 0) {</t>
  </si>
  <si>
    <t xml:space="preserve">detectado em 42 de 90 execuções; depende de o gerador produzir a entrada que revela o defeito</t>
  </si>
  <si>
    <t xml:space="preserve">CalculadoraPreco.desconto:58:ConditionalsBoundaryMutator:16</t>
  </si>
  <si>
    <t xml:space="preserve">removed conditional - replaced comparison check with false</t>
  </si>
  <si>
    <t xml:space="preserve">detectado em 89 de 90 execuções; depende de o gerador produzir a entrada que revela o defeito</t>
  </si>
  <si>
    <t xml:space="preserve">CalculadoraPreco.desconto:58:RemoveConditionalMutator_ORDER_ELSE:16</t>
  </si>
  <si>
    <t xml:space="preserve">removed conditional - replaced comparison check with true</t>
  </si>
  <si>
    <t xml:space="preserve">detectado em 74 de 90 execuções; depende de o gerador produzir a entrada que revela o defeito</t>
  </si>
  <si>
    <t xml:space="preserve">CalculadoraPreco.desconto:58:RemoveConditionalMutator_ORDER_IF:16</t>
  </si>
  <si>
    <t xml:space="preserve">detectado em 10 de 90 execuções; depende de o gerador produzir a entrada que revela o defeito</t>
  </si>
  <si>
    <t xml:space="preserve">CalculadoraPreco.desconto:61:ConditionalsBoundaryMutator:28</t>
  </si>
  <si>
    <t xml:space="preserve">negated conditional</t>
  </si>
  <si>
    <t xml:space="preserve">detectado em 76 de 90 execuções; depende de o gerador produzir a entrada que revela o defeito</t>
  </si>
  <si>
    <t xml:space="preserve">CalculadoraPreco.desconto:61:NegateConditionalsMutator:28</t>
  </si>
  <si>
    <t xml:space="preserve">detectado em 73 de 90 execuções; depende de o gerador produzir a entrada que revela o defeito</t>
  </si>
  <si>
    <t xml:space="preserve">CalculadoraPreco.desconto:61:RemoveConditionalMutator_ORDER_ELSE:28</t>
  </si>
  <si>
    <t xml:space="preserve">CalculadoraPreco.desconto:61:RemoveConditionalMutator_ORDER_IF:28</t>
  </si>
  <si>
    <t xml:space="preserve">if (cupom.getTipo() == TipoCupom.PERCENTUAL) {</t>
  </si>
  <si>
    <t xml:space="preserve">R11</t>
  </si>
  <si>
    <t xml:space="preserve">detectado em 64 de 90 execuções; depende de o gerador produzir a entrada que revela o defeito</t>
  </si>
  <si>
    <t xml:space="preserve">CalculadoraPreco.desconto:65:NegateConditionalsMutator:39</t>
  </si>
  <si>
    <t xml:space="preserve">removed conditional - replaced equality check with false</t>
  </si>
  <si>
    <t xml:space="preserve">detectado em 59 de 90 execuções; depende de o gerador produzir a entrada que revela o defeito</t>
  </si>
  <si>
    <t xml:space="preserve">CalculadoraPreco.desconto:65:RemoveConditionalMutator_EQUAL_ELSE:39</t>
  </si>
  <si>
    <t xml:space="preserve">detectado em 61 de 90 execuções; depende de o gerador produzir a entrada que revela o defeito</t>
  </si>
  <si>
    <t xml:space="preserve">CalculadoraPreco.desconto:65:RemoveConditionalMutator_EQUAL_IF:39</t>
  </si>
  <si>
    <t xml:space="preserve">bruto = subtotal * cupom.getValor() / 100;</t>
  </si>
  <si>
    <t xml:space="preserve">Replaced long multiplication with division</t>
  </si>
  <si>
    <t xml:space="preserve">CalculadoraPreco.desconto:66:MathMutator:45</t>
  </si>
  <si>
    <t xml:space="preserve">Replaced long division with multiplication</t>
  </si>
  <si>
    <t xml:space="preserve">detectado em 49 de 90 execuções; depende de o gerador produzir a entrada que revela o defeito</t>
  </si>
  <si>
    <t xml:space="preserve">CalculadoraPreco.desconto:66:MathMutator:47</t>
  </si>
  <si>
    <t xml:space="preserve">if (cupom.getMaximoDescontoCentavos() != null) {</t>
  </si>
  <si>
    <t xml:space="preserve">CalculadoraPreco.desconto:70:NegateConditionalsMutator:61</t>
  </si>
  <si>
    <t xml:space="preserve">detectado em 63 de 90 execuções; depende de o gerador produzir a entrada que revela o defeito</t>
  </si>
  <si>
    <t xml:space="preserve">CalculadoraPreco.desconto:70:RemoveConditionalMutator_EQUAL_ELSE:61</t>
  </si>
  <si>
    <t xml:space="preserve">return Math.min(bruto, subtotal);</t>
  </si>
  <si>
    <t xml:space="preserve">replaced long return with 0 for br/pucminas/tcc/ingressos/domain/CalculadoraPreco::desconto</t>
  </si>
  <si>
    <t xml:space="preserve">detectado em 67 de 90 execuções; depende de o gerador produzir a entrada que revela o defeito</t>
  </si>
  <si>
    <t xml:space="preserve">CalculadoraPreco.desconto:73:PrimitiveReturnsMutator:76</t>
  </si>
  <si>
    <t xml:space="preserve">Cupom.java</t>
  </si>
  <si>
    <t xml:space="preserve">public String getCodigo() { return codigo; }</t>
  </si>
  <si>
    <t xml:space="preserve">replaced return value with "" for br/pucminas/tcc/ingressos/domain/Cupom::getCodigo</t>
  </si>
  <si>
    <t xml:space="preserve">R9</t>
  </si>
  <si>
    <t xml:space="preserve">detectado em 68 de 90 execuções; depende de o gerador produzir a entrada que revela o defeito</t>
  </si>
  <si>
    <t xml:space="preserve">Cupom.getCodigo:25:EmptyObjectReturnValsMutator:5</t>
  </si>
  <si>
    <t xml:space="preserve">public TipoCupom getTipo() { return tipo; }</t>
  </si>
  <si>
    <t xml:space="preserve">replaced return value with null for br/pucminas/tcc/ingressos/domain/Cupom::getTipo</t>
  </si>
  <si>
    <t xml:space="preserve">Cupom.getTipo:26:NullReturnValsMutator:5</t>
  </si>
  <si>
    <t xml:space="preserve">public long getValor() { return valor; }</t>
  </si>
  <si>
    <t xml:space="preserve">replaced long return with 0 for br/pucminas/tcc/ingressos/domain/Cupom::getValor</t>
  </si>
  <si>
    <t xml:space="preserve">detectado em 75 de 90 execuções; depende de o gerador produzir a entrada que revela o defeito</t>
  </si>
  <si>
    <t xml:space="preserve">Cupom.getValor:27:PrimitiveReturnsMutator:5</t>
  </si>
  <si>
    <t xml:space="preserve">public long getMinimoCentavos() { return minimoCentavos; }</t>
  </si>
  <si>
    <t xml:space="preserve">replaced long return with 0 for br/pucminas/tcc/ingressos/domain/Cupom::getMinimoCentavos</t>
  </si>
  <si>
    <t xml:space="preserve">detectado em 78 de 90 execuções; depende de o gerador produzir a entrada que revela o defeito</t>
  </si>
  <si>
    <t xml:space="preserve">Cupom.getMinimoCentavos:28:PrimitiveReturnsMutator:5</t>
  </si>
  <si>
    <t xml:space="preserve">public Long getMaximoDescontoCentavos() { return maximoDescontoCentavos; }</t>
  </si>
  <si>
    <t xml:space="preserve">replaced Long return value with 0L for br/pucminas/tcc/ingressos/domain/Cupom::getMaximoDescontoCentavos</t>
  </si>
  <si>
    <t xml:space="preserve">detectado em 72 de 90 execuções; depende de o gerador produzir a entrada que revela o defeito</t>
  </si>
  <si>
    <t xml:space="preserve">Cupom.getMaximoDescontoCentavos:29:EmptyObjectReturnValsMutator:5</t>
  </si>
  <si>
    <t xml:space="preserve">public String getValidoAte() { return validoAte; }</t>
  </si>
  <si>
    <t xml:space="preserve">replaced return value with "" for br/pucminas/tcc/ingressos/domain/Cupom::getValidoAte</t>
  </si>
  <si>
    <t xml:space="preserve">detectado em 80 de 90 execuções; depende de o gerador produzir a entrada que revela o defeito</t>
  </si>
  <si>
    <t xml:space="preserve">Cupom.getValidoAte:30:EmptyObjectReturnValsMutator:5</t>
  </si>
  <si>
    <t xml:space="preserve">Evento.java</t>
  </si>
  <si>
    <t xml:space="preserve">public String getNome() { return nome; }</t>
  </si>
  <si>
    <t xml:space="preserve">replaced return value with "" for br/pucminas/tcc/ingressos/domain/Evento::getNome</t>
  </si>
  <si>
    <t xml:space="preserve">R1</t>
  </si>
  <si>
    <t xml:space="preserve">Evento.getNome:24:EmptyObjectReturnValsMutator:5</t>
  </si>
  <si>
    <t xml:space="preserve">ServicoIngressos.java</t>
  </si>
  <si>
    <t xml:space="preserve">if (nome == null || nome.isBlank() || capacidade &lt;= 0) {</t>
  </si>
  <si>
    <t xml:space="preserve">detectado em 39 de 90 execuções; depende de o gerador produzir a entrada que revela o defeito</t>
  </si>
  <si>
    <t xml:space="preserve">ServicoIngressos.criarEvento:35:ConditionalsBoundaryMutator:9</t>
  </si>
  <si>
    <t xml:space="preserve">detectado em 69 de 90 execuções; depende de o gerador produzir a entrada que revela o defeito</t>
  </si>
  <si>
    <t xml:space="preserve">ServicoIngressos.criarEvento:35:RemoveConditionalMutator_ORDER_ELSE:9</t>
  </si>
  <si>
    <t xml:space="preserve">if (precoCentavos &lt; 0 || quantidadeTotal &lt;= 0) {</t>
  </si>
  <si>
    <t xml:space="preserve">R3</t>
  </si>
  <si>
    <t xml:space="preserve">ServicoIngressos.criarLote:62:ConditionalsBoundaryMutator:14</t>
  </si>
  <si>
    <t xml:space="preserve">ServicoIngressos.criarLote:62:RemoveConditionalMutator_ORDER_IF:12</t>
  </si>
  <si>
    <t xml:space="preserve">if (lote.getEventoId().equals(eventoId)) {</t>
  </si>
  <si>
    <t xml:space="preserve">R4</t>
  </si>
  <si>
    <t xml:space="preserve">detectado em 87 de 90 execuções; depende de o gerador produzir a entrada que revela o defeito</t>
  </si>
  <si>
    <t xml:space="preserve">ServicoIngressos.criarLote:67:NegateConditionalsMutator:50</t>
  </si>
  <si>
    <t xml:space="preserve">ServicoIngressos.criarLote:67:RemoveConditionalMutator_EQUAL_ELSE:50</t>
  </si>
  <si>
    <t xml:space="preserve">ServicoIngressos.criarLote:67:RemoveConditionalMutator_EQUAL_IF:50</t>
  </si>
  <si>
    <t xml:space="preserve">ocupado += lote.getQuantidadeTotal();</t>
  </si>
  <si>
    <t xml:space="preserve">Replaced integer addition with subtraction</t>
  </si>
  <si>
    <t xml:space="preserve">detectado em 70 de 90 execuções; depende de o gerador produzir a entrada que revela o defeito</t>
  </si>
  <si>
    <t xml:space="preserve">ServicoIngressos.criarLote:68:MathMutator:56</t>
  </si>
  <si>
    <t xml:space="preserve">if (ocupado + quantidadeTotal &gt; evento.getCapacidade()) {</t>
  </si>
  <si>
    <t xml:space="preserve">detectado em 60 de 90 execuções; depende de o gerador produzir a entrada que revela o defeito</t>
  </si>
  <si>
    <t xml:space="preserve">ServicoIngressos.criarLote:71:ConditionalsBoundaryMutator:70</t>
  </si>
  <si>
    <t xml:space="preserve">ServicoIngressos.criarLote:71:RemoveConditionalMutator_ORDER_ELSE:70</t>
  </si>
  <si>
    <t xml:space="preserve">if (lote == null) {</t>
  </si>
  <si>
    <t xml:space="preserve">R20</t>
  </si>
  <si>
    <t xml:space="preserve">detectado em 79 de 90 execuções; depende de o gerador produzir a entrada que revela o defeito</t>
  </si>
  <si>
    <t xml:space="preserve">ServicoIngressos.buscarLote:81:RemoveConditionalMutator_EQUAL_ELSE:12</t>
  </si>
  <si>
    <t xml:space="preserve">boolean valorValido = tipo == TipoCupom.PERCENTUAL ? valor &gt;= 1 &amp;&amp; valor &lt;= 100 : valor &gt; 0;</t>
  </si>
  <si>
    <t xml:space="preserve">detectado em 85 de 90 execuções; depende de o gerador produzir a entrada que revela o defeito</t>
  </si>
  <si>
    <t xml:space="preserve">ServicoIngressos.cadastrarCupom:92:ConditionalsBoundaryMutator:13</t>
  </si>
  <si>
    <t xml:space="preserve">ServicoIngressos.cadastrarCupom:92:ConditionalsBoundaryMutator:25</t>
  </si>
  <si>
    <t xml:space="preserve">ServicoIngressos.cadastrarCupom:92:ConditionalsBoundaryMutator:9</t>
  </si>
  <si>
    <t xml:space="preserve">detectado em 27 de 90 execuções; depende de o gerador produzir a entrada que revela o defeito</t>
  </si>
  <si>
    <t xml:space="preserve">ServicoIngressos.cadastrarCupom:92:RemoveConditionalMutator_EQUAL_ELSE:5</t>
  </si>
  <si>
    <t xml:space="preserve">ServicoIngressos.cadastrarCupom:92:RemoveConditionalMutator_ORDER_IF:13</t>
  </si>
  <si>
    <t xml:space="preserve">detectado em 41 de 90 execuções; depende de o gerador produzir a entrada que revela o defeito</t>
  </si>
  <si>
    <t xml:space="preserve">ServicoIngressos.cadastrarCupom:92:RemoveConditionalMutator_ORDER_IF:25</t>
  </si>
  <si>
    <t xml:space="preserve">detectado em 57 de 90 execuções; depende de o gerador produzir a entrada que revela o defeito</t>
  </si>
  <si>
    <t xml:space="preserve">ServicoIngressos.cadastrarCupom:92:RemoveConditionalMutator_ORDER_IF:9</t>
  </si>
  <si>
    <t xml:space="preserve">boolean maximoValido = maximoDescontoCentavos == null || maximoDescontoCentavos &gt; 0;</t>
  </si>
  <si>
    <t xml:space="preserve">detectado em 23 de 90 execuções; depende de o gerador produzir a entrada que revela o defeito</t>
  </si>
  <si>
    <t xml:space="preserve">ServicoIngressos.cadastrarCupom:93:ConditionalsBoundaryMutator:42</t>
  </si>
  <si>
    <t xml:space="preserve">detectado em 56 de 90 execuções; depende de o gerador produzir a entrada que revela o defeito</t>
  </si>
  <si>
    <t xml:space="preserve">ServicoIngressos.cadastrarCupom:93:RemoveConditionalMutator_EQUAL_ELSE:37</t>
  </si>
  <si>
    <t xml:space="preserve">detectado em 55 de 90 execuções; depende de o gerador produzir a entrada que revela o defeito</t>
  </si>
  <si>
    <t xml:space="preserve">ServicoIngressos.cadastrarCupom:93:RemoveConditionalMutator_ORDER_IF:42</t>
  </si>
  <si>
    <t xml:space="preserve">if (codigo == null || codigo.isBlank() || !valorValido || minimoCentavos &lt; 0 || !maximoValido) {</t>
  </si>
  <si>
    <t xml:space="preserve">detectado em 52 de 90 execuções; depende de o gerador produzir a entrada que revela o defeito</t>
  </si>
  <si>
    <t xml:space="preserve">ServicoIngressos.cadastrarCupom:94:RemoveConditionalMutator_EQUAL_ELSE:67</t>
  </si>
  <si>
    <t xml:space="preserve">detectado em 84 de 90 execuções; depende de o gerador produzir a entrada que revela o defeito</t>
  </si>
  <si>
    <t xml:space="preserve">ServicoIngressos.cadastrarCupom:94:RemoveConditionalMutator_EQUAL_IF:59</t>
  </si>
  <si>
    <t xml:space="preserve">ServicoIngressos.cadastrarCupom:94:RemoveConditionalMutator_EQUAL_IF:61</t>
  </si>
  <si>
    <t xml:space="preserve">ServicoIngressos.cadastrarCupom:94:RemoveConditionalMutator_ORDER_IF:65</t>
  </si>
  <si>
    <t xml:space="preserve">return cupom;</t>
  </si>
  <si>
    <t xml:space="preserve">replaced return value with null for br/pucminas/tcc/ingressos/domain/ServicoIngressos::cadastrarCupom</t>
  </si>
  <si>
    <t xml:space="preserve">detectado em 66 de 90 execuções; depende de o gerador produzir a entrada que revela o defeito</t>
  </si>
  <si>
    <t xml:space="preserve">ServicoIngressos.cadastrarCupom:99:NullReturnValsMutator:100</t>
  </si>
  <si>
    <t xml:space="preserve">exigirEventoAtivo(evento);</t>
  </si>
  <si>
    <t xml:space="preserve">removed call to br/pucminas/tcc/ingressos/domain/ServicoIngressos::exigirEventoAtivo</t>
  </si>
  <si>
    <t xml:space="preserve">R6</t>
  </si>
  <si>
    <t xml:space="preserve">ServicoIngressos.criarReserva:107:VoidMethodCallMutator:10</t>
  </si>
  <si>
    <t xml:space="preserve">exigirEventoAtivo(buscarEvento(reserva.getEventoId()));</t>
  </si>
  <si>
    <t xml:space="preserve">R7</t>
  </si>
  <si>
    <t xml:space="preserve">ServicoIngressos.adicionarItem:125:VoidMethodCallMutator:18</t>
  </si>
  <si>
    <t xml:space="preserve">if (quantidade &lt;= 0) {</t>
  </si>
  <si>
    <t xml:space="preserve">detectado em 62 de 90 execuções; depende de o gerador produzir a entrada que revela o defeito</t>
  </si>
  <si>
    <t xml:space="preserve">ServicoIngressos.adicionarItem:126:ConditionalsBoundaryMutator:22</t>
  </si>
  <si>
    <t xml:space="preserve">ServicoIngressos.adicionarItem:126:RemoveConditionalMutator_ORDER_ELSE:22</t>
  </si>
  <si>
    <t xml:space="preserve">if (!lote.getEventoId().equals(reserva.getEventoId())) {</t>
  </si>
  <si>
    <t xml:space="preserve">ServicoIngressos.adicionarItem:130:RemoveConditionalMutator_EQUAL_ELSE:44</t>
  </si>
  <si>
    <t xml:space="preserve">Cupom cupom = reserva.getCodigoCupom() == null ? null : cupons.get(reserva.getCodigoCupom());</t>
  </si>
  <si>
    <t xml:space="preserve">detectado em 77 de 90 execuções; depende de o gerador produzir a entrada que revela o defeito</t>
  </si>
  <si>
    <t xml:space="preserve">ServicoIngressos.calcularTotais:152:NegateConditionalsMutator:51</t>
  </si>
  <si>
    <t xml:space="preserve">ServicoIngressos.calcularTotais:152:RemoveConditionalMutator_EQUAL_IF:51</t>
  </si>
  <si>
    <t xml:space="preserve">if (reserva.getItens().isEmpty()) {</t>
  </si>
  <si>
    <t xml:space="preserve">R14</t>
  </si>
  <si>
    <t xml:space="preserve">ServicoIngressos.confirmar:160:RemoveConditionalMutator_EQUAL_ELSE:17</t>
  </si>
  <si>
    <t xml:space="preserve">R15</t>
  </si>
  <si>
    <t xml:space="preserve">ServicoIngressos.confirmar:163:VoidMethodCallMutator:32</t>
  </si>
  <si>
    <t xml:space="preserve">if (buscarLote(entrada.getKey()).getQuantidadeDisponivel() &lt; entrada.getValue()) {</t>
  </si>
  <si>
    <t xml:space="preserve">ServicoIngressos.confirmar:166:ConditionalsBoundaryMutator:65</t>
  </si>
  <si>
    <t xml:space="preserve">reserva.setStatus(StatusReserva.PAGA);</t>
  </si>
  <si>
    <t xml:space="preserve">removed call to br/pucminas/tcc/ingressos/domain/Reserva::setStatus</t>
  </si>
  <si>
    <t xml:space="preserve">R18</t>
  </si>
  <si>
    <t xml:space="preserve">detectado em 83 de 90 execuções; depende de o gerador produzir a entrada que revela o defeito</t>
  </si>
  <si>
    <t xml:space="preserve">ServicoIngressos.pagar:181:VoidMethodCallMutator:16</t>
  </si>
  <si>
    <t xml:space="preserve">sequencia++;</t>
  </si>
  <si>
    <t xml:space="preserve">infra (identificadores)</t>
  </si>
  <si>
    <t xml:space="preserve">não</t>
  </si>
  <si>
    <t xml:space="preserve">equivalente</t>
  </si>
  <si>
    <t xml:space="preserve">o identificador muda de forma (contador decrescente: EVT--1, LOT--2...), mas continua único em cada coleção; o SPEC não define o formato dos identificadores</t>
  </si>
  <si>
    <t xml:space="preserve">ServicoIngressos.novoId:27:MathMutator:7</t>
  </si>
  <si>
    <t xml:space="preserve">sem o atalho, cupons.get(null) devolve null no LinkedHashMap: o cupom continua ausente e o desconto é o mesmo</t>
  </si>
  <si>
    <t xml:space="preserve">ServicoIngressos.calcularTotais:152:RemoveConditionalMutator_EQUAL_ELSE:51</t>
  </si>
  <si>
    <t xml:space="preserve">public String getData() { return data; }</t>
  </si>
  <si>
    <t xml:space="preserve">replaced return value with "" for br/pucminas/tcc/ingressos/domain/Evento::getData</t>
  </si>
  <si>
    <t xml:space="preserve">oráculo fraco</t>
  </si>
  <si>
    <t xml:space="preserve">o método de acesso devolve texto vazio; nenhuma propriedade confere a data do evento, que o SPEC não restringe por regra própria</t>
  </si>
  <si>
    <t xml:space="preserve">Evento.getData:25:EmptyObjectReturnValsMutator:5</t>
  </si>
  <si>
    <t xml:space="preserve">public String getLocal() { return local; }</t>
  </si>
  <si>
    <t xml:space="preserve">replaced return value with "" for br/pucminas/tcc/ingressos/domain/Evento::getLocal</t>
  </si>
  <si>
    <t xml:space="preserve">o método de acesso devolve texto vazio; nenhuma propriedade confere o local do evento, que o SPEC não restringe por regra própria</t>
  </si>
  <si>
    <t xml:space="preserve">Evento.getLocal:26:EmptyObjectReturnValsMutator:5</t>
  </si>
  <si>
    <t xml:space="preserve">Lote.java</t>
  </si>
  <si>
    <t xml:space="preserve">replaced return value with "" for br/pucminas/tcc/ingressos/domain/Lote::getNome</t>
  </si>
  <si>
    <t xml:space="preserve">R5</t>
  </si>
  <si>
    <t xml:space="preserve">o método de acesso devolve texto vazio; nenhuma propriedade confere o nome do lote, que o SPEC não restringe por regra própria</t>
  </si>
  <si>
    <t xml:space="preserve">Lote.getNome:24:EmptyObjectReturnValsMutator:5</t>
  </si>
  <si>
    <t xml:space="preserve">return evento;</t>
  </si>
  <si>
    <t xml:space="preserve">replaced return value with null for br/pucminas/tcc/ingressos/domain/ServicoIngressos::alterarStatusEvento</t>
  </si>
  <si>
    <t xml:space="preserve">R2</t>
  </si>
  <si>
    <t xml:space="preserve">a operação devolve null em vez do objeto atualizado; as propriedades consultam o estado depois, por buscar*, sem observar o valor devolvido (a camada REST usaria esse valor na resposta)</t>
  </si>
  <si>
    <t xml:space="preserve">ServicoIngressos.alterarStatusEvento:54:NullReturnValsMutator:15</t>
  </si>
  <si>
    <t xml:space="preserve">return reserva;</t>
  </si>
  <si>
    <t xml:space="preserve">replaced return value with null for br/pucminas/tcc/ingressos/domain/ServicoIngressos::adicionarItem</t>
  </si>
  <si>
    <t xml:space="preserve">ServicoIngressos.adicionarItem:134:NullReturnValsMutator:65</t>
  </si>
  <si>
    <t xml:space="preserve">replaced return value with null for br/pucminas/tcc/ingressos/domain/ServicoIngressos::aplicarCupom</t>
  </si>
  <si>
    <t xml:space="preserve">R10</t>
  </si>
  <si>
    <t xml:space="preserve">ServicoIngressos.aplicarCupom:142:NullReturnValsMutator:20</t>
  </si>
  <si>
    <t xml:space="preserve">replaced return value with null for br/pucminas/tcc/ingressos/domain/ServicoIngressos::confirmar</t>
  </si>
  <si>
    <t xml:space="preserve">ServicoIngressos.confirmar:174:NullReturnValsMutator:117</t>
  </si>
  <si>
    <t xml:space="preserve">replaced return value with null for br/pucminas/tcc/ingressos/domain/ServicoIngressos::pagar</t>
  </si>
  <si>
    <t xml:space="preserve">ServicoIngressos.pagar:182:NullReturnValsMutator:20</t>
  </si>
  <si>
    <t xml:space="preserve">return encerrar(reservaId, StatusReserva.CANCELADA);</t>
  </si>
  <si>
    <t xml:space="preserve">replaced return value with null for br/pucminas/tcc/ingressos/domain/ServicoIngressos::cancelar</t>
  </si>
  <si>
    <t xml:space="preserve">ServicoIngressos.cancelar:187:NullReturnValsMutator:7</t>
  </si>
  <si>
    <t xml:space="preserve">return encerrar(reservaId, StatusReserva.EXPIRADA);</t>
  </si>
  <si>
    <t xml:space="preserve">replaced return value with null for br/pucminas/tcc/ingressos/domain/ServicoIngressos::expirar</t>
  </si>
  <si>
    <t xml:space="preserve">ServicoIngressos.expirar:192:NullReturnValsMutator:7</t>
  </si>
  <si>
    <t xml:space="preserve">replaced return value with null for br/pucminas/tcc/ingressos/domain/ServicoIngressos::encerrar</t>
  </si>
  <si>
    <t xml:space="preserve">a operação devolve null em vez do objeto atualizado; as propriedades consultam o estado depois, por buscar*, sem observar o valor devolvido (a camada REST usaria esse valor na resposta); encerrar é usado por cancelar e expirar</t>
  </si>
  <si>
    <t xml:space="preserve">ServicoIngressos.encerrar:207:NullReturnValsMutator:73</t>
  </si>
  <si>
    <t xml:space="preserve">CalculadoraPreco.desconto:58:NegateConditionalsMutator:16</t>
  </si>
  <si>
    <t xml:space="preserve">detectado em 82 de 90 execuções; depende de o gerador produzir a entrada que revela o defeito</t>
  </si>
  <si>
    <t xml:space="preserve">CalculadoraPreco.desconto:70:RemoveConditionalMutator_EQUAL_IF:61</t>
  </si>
  <si>
    <t xml:space="preserve">return new Totais(sub, desc, sub - desc);</t>
  </si>
  <si>
    <t xml:space="preserve">Replaced long subtraction with addition</t>
  </si>
  <si>
    <t xml:space="preserve">CalculadoraPreco.calcular:80:MathMutator:21</t>
  </si>
  <si>
    <t xml:space="preserve">public String getId() { return id; }</t>
  </si>
  <si>
    <t xml:space="preserve">replaced return value with "" for br/pucminas/tcc/ingressos/domain/Lote::getId</t>
  </si>
  <si>
    <t xml:space="preserve">Lote.getId:22:EmptyObjectReturnValsMutator:5</t>
  </si>
  <si>
    <t xml:space="preserve">public int getQuantidadeDisponivel() { return quantidadeDisponivel; }</t>
  </si>
  <si>
    <t xml:space="preserve">replaced int return with 0 for br/pucminas/tcc/ingressos/domain/Lote::getQuantidadeDisponivel</t>
  </si>
  <si>
    <t xml:space="preserve">Lote.getQuantidadeDisponivel:27:PrimitiveReturnsMutator:5</t>
  </si>
  <si>
    <t xml:space="preserve">Reserva.java</t>
  </si>
  <si>
    <t xml:space="preserve">public List&lt;Item&gt; getItens() { return Collections.unmodifiableList(itens); }</t>
  </si>
  <si>
    <t xml:space="preserve">replaced return value with Collections.emptyList for br/pucminas/tcc/ingressos/domain/Reserva::getItens</t>
  </si>
  <si>
    <t xml:space="preserve">Reserva.getItens:39:EmptyObjectReturnValsMutator:6</t>
  </si>
  <si>
    <t xml:space="preserve">ServicoIngressos.cadastrarCupom:92:NegateConditionalsMutator:5</t>
  </si>
  <si>
    <t xml:space="preserve">exigirStatus(reserva, StatusReserva.CRIADA);</t>
  </si>
  <si>
    <t xml:space="preserve">removed call to br/pucminas/tcc/ingressos/domain/ServicoIngressos::exigirStatus</t>
  </si>
  <si>
    <t xml:space="preserve">ServicoIngressos.adicionarItem:124:VoidMethodCallMutator:11</t>
  </si>
  <si>
    <t xml:space="preserve">ServicoIngressos.confirmar:160:NegateConditionalsMutator:17</t>
  </si>
  <si>
    <t xml:space="preserve">ServicoIngressos.confirmar:160:RemoveConditionalMutator_EQUAL_IF:17</t>
  </si>
  <si>
    <t xml:space="preserve">ServicoIngressos.confirmar:166:RemoveConditionalMutator_ORDER_IF:65</t>
  </si>
  <si>
    <t xml:space="preserve">exigirStatus(reserva, StatusReserva.CONFIRMADA);</t>
  </si>
  <si>
    <t xml:space="preserve">ServicoIngressos.pagar:180:VoidMethodCallMutator:11</t>
  </si>
  <si>
    <t xml:space="preserve">if (atual != StatusReserva.CRIADA &amp;&amp; atual != StatusReserva.CONFIRMADA) {</t>
  </si>
  <si>
    <t xml:space="preserve">R19</t>
  </si>
  <si>
    <t xml:space="preserve">ServicoIngressos.encerrar:198:RemoveConditionalMutator_EQUAL_ELSE:16</t>
  </si>
  <si>
    <t xml:space="preserve">ServicoIngressos.encerrar:198:RemoveConditionalMutator_EQUAL_ELSE:19</t>
  </si>
  <si>
    <t xml:space="preserve">public long getPrecoCentavos() { return precoCentavos; }</t>
  </si>
  <si>
    <t xml:space="preserve">replaced long return with 0 for br/pucminas/tcc/ingressos/domain/CalculadoraPreco$ItemPrecificado::getPrecoCentavos</t>
  </si>
  <si>
    <t xml:space="preserve">R13 é verificada pela suíte fraca, mas nenhuma propriedade observa a diferença; a suíte forte detecta</t>
  </si>
  <si>
    <t xml:space="preserve">CalculadoraPreco$ItemPrecificado.getPrecoCentavos:23:PrimitiveReturnsMutator:5</t>
  </si>
  <si>
    <t xml:space="preserve">public int getQuantidade() { return quantidade; }</t>
  </si>
  <si>
    <t xml:space="preserve">replaced int return with 0 for br/pucminas/tcc/ingressos/domain/CalculadoraPreco$ItemPrecificado::getQuantidade</t>
  </si>
  <si>
    <t xml:space="preserve">CalculadoraPreco$ItemPrecificado.getQuantidade:24:PrimitiveReturnsMutator:5</t>
  </si>
  <si>
    <t xml:space="preserve">soma += item.getPrecoCentavos() * item.getQuantidade();</t>
  </si>
  <si>
    <t xml:space="preserve">R8</t>
  </si>
  <si>
    <t xml:space="preserve">R8 é verificada pela suíte fraca, mas nenhuma propriedade observa a diferença; a suíte forte detecta</t>
  </si>
  <si>
    <t xml:space="preserve">CalculadoraPreco.subtotal:48:MathMutator:27</t>
  </si>
  <si>
    <t xml:space="preserve">return soma;</t>
  </si>
  <si>
    <t xml:space="preserve">replaced long return with 0 for br/pucminas/tcc/ingressos/domain/CalculadoraPreco::subtotal</t>
  </si>
  <si>
    <t xml:space="preserve">CalculadoraPreco.subtotal:50:PrimitiveReturnsMutator:37</t>
  </si>
  <si>
    <t xml:space="preserve">R12 é verificada pela suíte fraca, mas nenhuma propriedade observa a diferença; a suíte forte detecta</t>
  </si>
  <si>
    <t xml:space="preserve">R11 é verificada pela suíte fraca, mas nenhuma propriedade observa a diferença; a suíte forte detecta</t>
  </si>
  <si>
    <t xml:space="preserve">replaced long return with 0 for br/pucminas/tcc/ingressos/domain/Lote::getPrecoCentavos</t>
  </si>
  <si>
    <t xml:space="preserve">R5 é verificada pela suíte fraca, mas nenhuma propriedade observa a diferença; a suíte forte detecta</t>
  </si>
  <si>
    <t xml:space="preserve">Lote.getPrecoCentavos:25:PrimitiveReturnsMutator:5</t>
  </si>
  <si>
    <t xml:space="preserve">R15 é verificada pela suíte fraca, mas nenhuma propriedade observa a diferença; a suíte forte detecta</t>
  </si>
  <si>
    <t xml:space="preserve">regra sem propriedade</t>
  </si>
  <si>
    <t xml:space="preserve">R9 não é verificada pela suíte fraca; a suíte forte detecta</t>
  </si>
  <si>
    <t xml:space="preserve">replaced return value with "" for br/pucminas/tcc/ingressos/domain/Evento::getId</t>
  </si>
  <si>
    <t xml:space="preserve">R1 não é verificada pela suíte fraca; a suíte forte detecta</t>
  </si>
  <si>
    <t xml:space="preserve">Evento.getId:23:EmptyObjectReturnValsMutator:5</t>
  </si>
  <si>
    <t xml:space="preserve">R1 não é verificada pela suíte fraca; o método de acesso devolve texto vazio; nenhuma propriedade confere a data do evento, que o SPEC não restringe por regra própria</t>
  </si>
  <si>
    <t xml:space="preserve">R1 não é verificada pela suíte fraca; o método de acesso devolve texto vazio; nenhuma propriedade confere o local do evento, que o SPEC não restringe por regra própria</t>
  </si>
  <si>
    <t xml:space="preserve">public String getCodigoCupom() { return codigoCupom; }</t>
  </si>
  <si>
    <t xml:space="preserve">replaced return value with "" for br/pucminas/tcc/ingressos/domain/Reserva::getCodigoCupom</t>
  </si>
  <si>
    <t xml:space="preserve">R10 não é verificada pela suíte fraca; a suíte forte detecta</t>
  </si>
  <si>
    <t xml:space="preserve">Reserva.getCodigoCupom:40:EmptyObjectReturnValsMutator:5</t>
  </si>
  <si>
    <t xml:space="preserve">ServicoIngressos.criarEvento:35:RemoveConditionalMutator_EQUAL_IF:4</t>
  </si>
  <si>
    <t xml:space="preserve">ServicoIngressos.criarEvento:35:RemoveConditionalMutator_EQUAL_IF:7</t>
  </si>
  <si>
    <t xml:space="preserve">if (evento == null) {</t>
  </si>
  <si>
    <t xml:space="preserve">R20 não é verificada pela suíte fraca; a suíte forte detecta</t>
  </si>
  <si>
    <t xml:space="preserve">ServicoIngressos.buscarEvento:45:RemoveConditionalMutator_EQUAL_ELSE:12</t>
  </si>
  <si>
    <t xml:space="preserve">evento.setStatus(status);</t>
  </si>
  <si>
    <t xml:space="preserve">removed call to br/pucminas/tcc/ingressos/domain/Evento::setStatus</t>
  </si>
  <si>
    <t xml:space="preserve">R2 não é verificada pela suíte fraca; a suíte forte detecta</t>
  </si>
  <si>
    <t xml:space="preserve">ServicoIngressos.alterarStatusEvento:53:VoidMethodCallMutator:11</t>
  </si>
  <si>
    <t xml:space="preserve">R2 não é verificada pela suíte fraca; a operação devolve null em vez do objeto atualizado; as propriedades consultam o estado depois, por buscar*, sem observar o valor devolvido (a camada REST usaria esse valor na resposta)</t>
  </si>
  <si>
    <t xml:space="preserve">R3 não é verificada pela suíte fraca; a suíte forte detecta</t>
  </si>
  <si>
    <t xml:space="preserve">ServicoIngressos.criarLote:62:RemoveConditionalMutator_ORDER_ELSE:14</t>
  </si>
  <si>
    <t xml:space="preserve">R4 não é verificada pela suíte fraca; a suíte forte detecta</t>
  </si>
  <si>
    <t xml:space="preserve">ServicoIngressos.criarLote:71:MathMutator:67</t>
  </si>
  <si>
    <t xml:space="preserve">ServicoIngressos.cadastrarCupom:94:RemoveConditionalMutator_EQUAL_IF:56</t>
  </si>
  <si>
    <t xml:space="preserve">R6 não é verificada pela suíte fraca; a suíte forte detecta</t>
  </si>
  <si>
    <t xml:space="preserve">if (reserva == null) {</t>
  </si>
  <si>
    <t xml:space="preserve">ServicoIngressos.buscarReserva:115:RemoveConditionalMutator_EQUAL_ELSE:12</t>
  </si>
  <si>
    <t xml:space="preserve">R7 não é verificada pela suíte fraca; a suíte forte detecta</t>
  </si>
  <si>
    <t xml:space="preserve">R7 não é verificada pela suíte fraca; a operação devolve null em vez do objeto atualizado; as propriedades consultam o estado depois, por buscar*, sem observar o valor devolvido (a camada REST usaria esse valor na resposta)</t>
  </si>
  <si>
    <t xml:space="preserve">ServicoIngressos.aplicarCupom:140:VoidMethodCallMutator:11</t>
  </si>
  <si>
    <t xml:space="preserve">reserva.setCodigoCupom(codigo);</t>
  </si>
  <si>
    <t xml:space="preserve">removed call to br/pucminas/tcc/ingressos/domain/Reserva::setCodigoCupom</t>
  </si>
  <si>
    <t xml:space="preserve">ServicoIngressos.aplicarCupom:141:VoidMethodCallMutator:16</t>
  </si>
  <si>
    <t xml:space="preserve">R10 não é verificada pela suíte fraca; a operação devolve null em vez do objeto atualizado; as propriedades consultam o estado depois, por buscar*, sem observar o valor devolvido (a camada REST usaria esse valor na resposta)</t>
  </si>
  <si>
    <t xml:space="preserve">R14 não é verificada pela suíte fraca; a suíte forte detecta</t>
  </si>
  <si>
    <t xml:space="preserve">if (evento.getStatus() != StatusEvento.ATIVO) {</t>
  </si>
  <si>
    <t xml:space="preserve">ServicoIngressos.exigirEventoAtivo:227:RemoveConditionalMutator_EQUAL_ELSE:6</t>
  </si>
  <si>
    <t xml:space="preserve">node</t>
  </si>
  <si>
    <t xml:space="preserve">calculadoraPreco.js</t>
  </si>
  <si>
    <t xml:space="preserve">if (cupom === null) {</t>
  </si>
  <si>
    <t xml:space="preserve">ConditionalExpression: substitui por 'true'</t>
  </si>
  <si>
    <t xml:space="preserve">detectado em 86 de 90 execuções; depende de o gerador produzir a entrada que revela o defeito</t>
  </si>
  <si>
    <t xml:space="preserve">calculadoraPreco.js:18:7-18.21:ConditionalExpression:true</t>
  </si>
  <si>
    <t xml:space="preserve">if (hoje &gt; cupom.validoAte) {</t>
  </si>
  <si>
    <t xml:space="preserve">BlockStatement: substitui por '{}'</t>
  </si>
  <si>
    <t xml:space="preserve">calculadoraPreco.js:21:31-23.4:BlockStatement:{}</t>
  </si>
  <si>
    <t xml:space="preserve">calculadoraPreco.js:21:7-21.29:ConditionalExpression:true</t>
  </si>
  <si>
    <t xml:space="preserve">EqualityOperator: substitui por 'hoje &gt;= cupom.validoAte'</t>
  </si>
  <si>
    <t xml:space="preserve">detectado em 47 de 90 execuções; depende de o gerador produzir a entrada que revela o defeito</t>
  </si>
  <si>
    <t xml:space="preserve">calculadoraPreco.js:21:7-21.29:EqualityOperator:hoje &gt;= cupom.validoAte</t>
  </si>
  <si>
    <t xml:space="preserve">if (sub &lt; cupom.minimoCentavos) {</t>
  </si>
  <si>
    <t xml:space="preserve">calculadoraPreco.js:24:35-26.4:BlockStatement:{}</t>
  </si>
  <si>
    <t xml:space="preserve">ConditionalExpression: substitui por 'false'</t>
  </si>
  <si>
    <t xml:space="preserve">calculadoraPreco.js:24:7-24.33:ConditionalExpression:false</t>
  </si>
  <si>
    <t xml:space="preserve">calculadoraPreco.js:24:7-24.33:ConditionalExpression:true</t>
  </si>
  <si>
    <t xml:space="preserve">EqualityOperator: substitui por 'sub &lt;= cupom.minimoCentavos'</t>
  </si>
  <si>
    <t xml:space="preserve">só difere quando o subtotal é exatamente igual ao mínimo do cupom (e o desconto seria positivo); os geradores não produziram essa igualdade em nenhuma execução; P9 detectaria</t>
  </si>
  <si>
    <t xml:space="preserve">calculadoraPreco.js:24:7-24.33:EqualityOperator:sub &lt;= cupom.minimoCentavos</t>
  </si>
  <si>
    <t xml:space="preserve">EqualityOperator: substitui por 'sub &gt;= cupom.minimoCentavos'</t>
  </si>
  <si>
    <t xml:space="preserve">calculadoraPreco.js:24:7-24.33:EqualityOperator:sub &gt;= cupom.minimoCentavos</t>
  </si>
  <si>
    <t xml:space="preserve">if (cupom.tipo === TipoCupom.PERCENTUAL) {</t>
  </si>
  <si>
    <t xml:space="preserve">calculadoraPreco.js:28:44-30.4:BlockStatement:{}</t>
  </si>
  <si>
    <t xml:space="preserve">calculadoraPreco.js:28:7-28.42:ConditionalExpression:false</t>
  </si>
  <si>
    <t xml:space="preserve">calculadoraPreco.js:28:7-28.42:ConditionalExpression:true</t>
  </si>
  <si>
    <t xml:space="preserve">EqualityOperator: substitui por 'cupom.tipo !== TipoCupom.PERCENTUAL'</t>
  </si>
  <si>
    <t xml:space="preserve">calculadoraPreco.js:28:7-28.42:EqualityOperator:cupom.tipo !== TipoCupom.PERCENTUAL</t>
  </si>
  <si>
    <t xml:space="preserve">bruto = Math.floor((sub * cupom.valor) / 100);</t>
  </si>
  <si>
    <t xml:space="preserve">ArithmeticOperator: substitui por 'sub * cupom.valor * 100'</t>
  </si>
  <si>
    <t xml:space="preserve">calculadoraPreco.js:29:24-29.49:ArithmeticOperator:sub * cupom.valor * 100</t>
  </si>
  <si>
    <t xml:space="preserve">ArithmeticOperator: substitui por 'sub / cupom.valor'</t>
  </si>
  <si>
    <t xml:space="preserve">calculadoraPreco.js:29:25-29.42:ArithmeticOperator:sub / cupom.valor</t>
  </si>
  <si>
    <t xml:space="preserve">if (cupom.maximoDescontoCentavos !== null) {</t>
  </si>
  <si>
    <t xml:space="preserve">calculadoraPreco.js:33:46-35.4:BlockStatement:{}</t>
  </si>
  <si>
    <t xml:space="preserve">calculadoraPreco.js:33:7-33.44:ConditionalExpression:false</t>
  </si>
  <si>
    <t xml:space="preserve">calculadoraPreco.js:33:7-33.44:ConditionalExpression:true</t>
  </si>
  <si>
    <t xml:space="preserve">EqualityOperator: substitui por 'cupom.maximoDescontoCentavos === null'</t>
  </si>
  <si>
    <t xml:space="preserve">calculadoraPreco.js:33:7-33.44:EqualityOperator:cupom.maximoDescontoCentavos === null</t>
  </si>
  <si>
    <t xml:space="preserve">bruto = Math.min(bruto, cupom.maximoDescontoCentavos);</t>
  </si>
  <si>
    <t xml:space="preserve">MethodExpression: substitui por 'Math.max(bruto, cupom.maximoDescontoCentavos)'</t>
  </si>
  <si>
    <t xml:space="preserve">calculadoraPreco.js:34:13-34.58:MethodExpression:Math.max(bruto, cupom.maximoDescontoCentavos)</t>
  </si>
  <si>
    <t xml:space="preserve">return Math.min(bruto, sub);</t>
  </si>
  <si>
    <t xml:space="preserve">MethodExpression: substitui por 'Math.max(bruto, sub)'</t>
  </si>
  <si>
    <t xml:space="preserve">detectado em 81 de 90 execuções; depende de o gerador produzir a entrada que revela o defeito</t>
  </si>
  <si>
    <t xml:space="preserve">calculadoraPreco.js:36:10-36.30:MethodExpression:Math.max(bruto, sub)</t>
  </si>
  <si>
    <t xml:space="preserve">modelos.js</t>
  </si>
  <si>
    <t xml:space="preserve">PAGA: 'PAGA',</t>
  </si>
  <si>
    <t xml:space="preserve">StringLiteral: substitui por '""'</t>
  </si>
  <si>
    <t xml:space="preserve">modelos.js:10:9-10.15:StringLiteral:""</t>
  </si>
  <si>
    <t xml:space="preserve">const TipoCupom = Object.freeze({ PERCENTUAL: 'PERCENTUAL', FIXO: 'FIXO' });</t>
  </si>
  <si>
    <t xml:space="preserve">ObjectLiteral: substitui por '{}'</t>
  </si>
  <si>
    <t xml:space="preserve">modelos.js:15:33-15.75:ObjectLiteral:{}</t>
  </si>
  <si>
    <t xml:space="preserve">modelos.js:15:47-15.59:StringLiteral:""</t>
  </si>
  <si>
    <t xml:space="preserve">servicoIngressos.js</t>
  </si>
  <si>
    <t xml:space="preserve">if (nome == null || nome.trim() === '' || capacidade &lt;= 0) {</t>
  </si>
  <si>
    <t xml:space="preserve">servicoIngressos.js:37:47-37.62:ConditionalExpression:false</t>
  </si>
  <si>
    <t xml:space="preserve">servicoIngressos.js:37:9-37.21:ConditionalExpression:false</t>
  </si>
  <si>
    <t xml:space="preserve">EqualityOperator: substitui por 'capacidade &lt; 0'</t>
  </si>
  <si>
    <t xml:space="preserve">detectado em 44 de 90 execuções; depende de o gerador produzir a entrada que revela o defeito</t>
  </si>
  <si>
    <t xml:space="preserve">servicoIngressos.js:37:47-37.62:EqualityOperator:capacidade &lt; 0</t>
  </si>
  <si>
    <t xml:space="preserve">MethodExpression: substitui por 'nome'</t>
  </si>
  <si>
    <t xml:space="preserve">servicoIngressos.js:37:25-37.36:MethodExpression:nome</t>
  </si>
  <si>
    <t xml:space="preserve">servicoIngressos.js:64:30-64.50:ConditionalExpression:false</t>
  </si>
  <si>
    <t xml:space="preserve">servicoIngressos.js:64:9-64.26:ConditionalExpression:false</t>
  </si>
  <si>
    <t xml:space="preserve">EqualityOperator: substitui por 'quantidadeTotal &lt; 0'</t>
  </si>
  <si>
    <t xml:space="preserve">servicoIngressos.js:64:30-64.50:EqualityOperator:quantidadeTotal &lt; 0</t>
  </si>
  <si>
    <t xml:space="preserve">EqualityOperator: substitui por 'precoCentavos &lt;= 0'</t>
  </si>
  <si>
    <t xml:space="preserve">servicoIngressos.js:64:9-64.26:EqualityOperator:precoCentavos &lt;= 0</t>
  </si>
  <si>
    <t xml:space="preserve">for (const lote of this.lotes.values()) {</t>
  </si>
  <si>
    <t xml:space="preserve">servicoIngressos.js:68:45-72.6:BlockStatement:{}</t>
  </si>
  <si>
    <t xml:space="preserve">if (lote.eventoId === eventoId) {</t>
  </si>
  <si>
    <t xml:space="preserve">servicoIngressos.js:69:39-71.8:BlockStatement:{}</t>
  </si>
  <si>
    <t xml:space="preserve">servicoIngressos.js:69:11-69.37:ConditionalExpression:false</t>
  </si>
  <si>
    <t xml:space="preserve">servicoIngressos.js:69:11-69.37:ConditionalExpression:true</t>
  </si>
  <si>
    <t xml:space="preserve">EqualityOperator: substitui por 'lote.eventoId !== eventoId'</t>
  </si>
  <si>
    <t xml:space="preserve">servicoIngressos.js:69:11-69.37:EqualityOperator:lote.eventoId !== eventoId</t>
  </si>
  <si>
    <t xml:space="preserve">ocupado += lote.quantidadeTotal;</t>
  </si>
  <si>
    <t xml:space="preserve">AssignmentOperator: substitui por 'ocupado -= lote.quantidadeTotal'</t>
  </si>
  <si>
    <t xml:space="preserve">servicoIngressos.js:70:9-70.40:AssignmentOperator:ocupado -= lote.quantidadeTotal</t>
  </si>
  <si>
    <t xml:space="preserve">if (ocupado + quantidadeTotal &gt; evento.capacidade) {</t>
  </si>
  <si>
    <t xml:space="preserve">EqualityOperator: substitui por 'ocupado + quantidadeTotal &gt;= evento.capacidade'</t>
  </si>
  <si>
    <t xml:space="preserve">servicoIngressos.js:73:9-73.54:EqualityOperator:ocupado + quantidadeTotal &gt;= evento.capacidade</t>
  </si>
  <si>
    <t xml:space="preserve">if (lote === undefined) {</t>
  </si>
  <si>
    <t xml:space="preserve">servicoIngressos.js:83:29-85.6:BlockStatement:{}</t>
  </si>
  <si>
    <t xml:space="preserve">servicoIngressos.js:83:9-83.27:ConditionalExpression:false</t>
  </si>
  <si>
    <t xml:space="preserve">throw new RegraNegocioError('LOTE_NAO_ENCONTRADO');</t>
  </si>
  <si>
    <t xml:space="preserve">servicoIngressos.js:84:35-84.56:StringLiteral:""</t>
  </si>
  <si>
    <t xml:space="preserve">const valorValido = tipo === TipoCupom.PERCENTUAL ? valor &gt;= 1 &amp;&amp; valor &lt;= 100 : valor &gt; 0;</t>
  </si>
  <si>
    <t xml:space="preserve">detectado em 53 de 90 execuções; depende de o gerador produzir a entrada que revela o defeito</t>
  </si>
  <si>
    <t xml:space="preserve">servicoIngressos.js:93:25-93.54:ConditionalExpression:false</t>
  </si>
  <si>
    <t xml:space="preserve">servicoIngressos.js:93:57-93.67:ConditionalExpression:true</t>
  </si>
  <si>
    <t xml:space="preserve">servicoIngressos.js:93:57-93.83:ConditionalExpression:true</t>
  </si>
  <si>
    <t xml:space="preserve">servicoIngressos.js:93:71-93.83:ConditionalExpression:true</t>
  </si>
  <si>
    <t xml:space="preserve">detectado em 54 de 90 execuções; depende de o gerador produzir a entrada que revela o defeito</t>
  </si>
  <si>
    <t xml:space="preserve">servicoIngressos.js:93:86-93.95:ConditionalExpression:true</t>
  </si>
  <si>
    <t xml:space="preserve">EqualityOperator: substitui por 'valor &gt; 1'</t>
  </si>
  <si>
    <t xml:space="preserve">servicoIngressos.js:93:57-93.67:EqualityOperator:valor &gt; 1</t>
  </si>
  <si>
    <t xml:space="preserve">EqualityOperator: substitui por 'valor &lt; 100'</t>
  </si>
  <si>
    <t xml:space="preserve">servicoIngressos.js:93:71-93.83:EqualityOperator:valor &lt; 100</t>
  </si>
  <si>
    <t xml:space="preserve">EqualityOperator: substitui por 'valor &gt;= 0'</t>
  </si>
  <si>
    <t xml:space="preserve">detectado em 22 de 90 execuções; depende de o gerador produzir a entrada que revela o defeito</t>
  </si>
  <si>
    <t xml:space="preserve">servicoIngressos.js:93:86-93.95:EqualityOperator:valor &gt;= 0</t>
  </si>
  <si>
    <t xml:space="preserve">LogicalOperator: substitui por 'valor &gt;= 1 || valor &lt;= 100'</t>
  </si>
  <si>
    <t xml:space="preserve">servicoIngressos.js:93:57-93.83:LogicalOperator:valor &gt;= 1 || valor &lt;= 100</t>
  </si>
  <si>
    <t xml:space="preserve">const maximoValido = maximoDescontoCentavos === null || maximoDescontoCentavos &gt; 0;</t>
  </si>
  <si>
    <t xml:space="preserve">servicoIngressos.js:94:26-94.87:ConditionalExpression:true</t>
  </si>
  <si>
    <t xml:space="preserve">EqualityOperator: substitui por 'maximoDescontoCentavos &gt;= 0'</t>
  </si>
  <si>
    <t xml:space="preserve">detectado em 36 de 90 execuções; depende de o gerador produzir a entrada que revela o defeito</t>
  </si>
  <si>
    <t xml:space="preserve">servicoIngressos.js:94:61-94.87:EqualityOperator:maximoDescontoCentavos &gt;= 0</t>
  </si>
  <si>
    <t xml:space="preserve">if (codigo == null || codigo.trim() === '' || !valorValido || minimoCentavos &lt; 0 || !maximoValido) {</t>
  </si>
  <si>
    <t xml:space="preserve">servicoIngressos.js:95:27-95.47:ConditionalExpression:false</t>
  </si>
  <si>
    <t xml:space="preserve">servicoIngressos.js:95:67-95.85:ConditionalExpression:false</t>
  </si>
  <si>
    <t xml:space="preserve">servicoIngressos.js:95:9-95.23:ConditionalExpression:false</t>
  </si>
  <si>
    <t xml:space="preserve">MethodExpression: substitui por 'codigo'</t>
  </si>
  <si>
    <t xml:space="preserve">servicoIngressos.js:95:27-95.40:MethodExpression:codigo</t>
  </si>
  <si>
    <t xml:space="preserve">this.cupons.set(codigo, cupom);</t>
  </si>
  <si>
    <t xml:space="preserve">CallExpression: substitui por ';'</t>
  </si>
  <si>
    <t xml:space="preserve">servicoIngressos.js:99:5-99.36:CallExpression:;</t>
  </si>
  <si>
    <t xml:space="preserve">servicoIngressos.js:108:5-108.31:CallExpression:;</t>
  </si>
  <si>
    <t xml:space="preserve">exigirEventoAtivo(this.buscarEvento(reserva.eventoId));</t>
  </si>
  <si>
    <t xml:space="preserve">servicoIngressos.js:126:5-126.60:CallExpression:;</t>
  </si>
  <si>
    <t xml:space="preserve">servicoIngressos.js:127:26-129.6:BlockStatement:{}</t>
  </si>
  <si>
    <t xml:space="preserve">servicoIngressos.js:127:9-127.24:ConditionalExpression:false</t>
  </si>
  <si>
    <t xml:space="preserve">EqualityOperator: substitui por 'quantidade &lt; 0'</t>
  </si>
  <si>
    <t xml:space="preserve">servicoIngressos.js:127:9-127.24:EqualityOperator:quantidade &lt; 0</t>
  </si>
  <si>
    <t xml:space="preserve">throw new RegraNegocioError('QUANTIDADE_INVALIDA');</t>
  </si>
  <si>
    <t xml:space="preserve">servicoIngressos.js:128:35-128.56:StringLiteral:""</t>
  </si>
  <si>
    <t xml:space="preserve">if (lote.eventoId !== reserva.eventoId) {</t>
  </si>
  <si>
    <t xml:space="preserve">servicoIngressos.js:131:45-133.6:BlockStatement:{}</t>
  </si>
  <si>
    <t xml:space="preserve">servicoIngressos.js:131:9-131.43:ConditionalExpression:false</t>
  </si>
  <si>
    <t xml:space="preserve">throw new RegraNegocioError('LOTE_INVALIDO');</t>
  </si>
  <si>
    <t xml:space="preserve">servicoIngressos.js:132:35-132.50:StringLiteral:""</t>
  </si>
  <si>
    <t xml:space="preserve">const cupom = reserva.codigoCupom === null ? null : this.cupons.get(reserva.codigoCupom) ?? null;</t>
  </si>
  <si>
    <t xml:space="preserve">servicoIngressos.js:153:19-153.47:ConditionalExpression:true</t>
  </si>
  <si>
    <t xml:space="preserve">EqualityOperator: substitui por 'reserva.codigoCupom !== null'</t>
  </si>
  <si>
    <t xml:space="preserve">servicoIngressos.js:153:19-153.47:EqualityOperator:reserva.codigoCupom !== null</t>
  </si>
  <si>
    <t xml:space="preserve">if (reserva.itens.length === 0) {</t>
  </si>
  <si>
    <t xml:space="preserve">servicoIngressos.js:161:37-163.6:BlockStatement:{}</t>
  </si>
  <si>
    <t xml:space="preserve">servicoIngressos.js:161:9-161.35:ConditionalExpression:false</t>
  </si>
  <si>
    <t xml:space="preserve">throw new RegraNegocioError('RESERVA_VAZIA');</t>
  </si>
  <si>
    <t xml:space="preserve">servicoIngressos.js:162:35-162.50:StringLiteral:""</t>
  </si>
  <si>
    <t xml:space="preserve">servicoIngressos.js:164:5-164.60:CallExpression:;</t>
  </si>
  <si>
    <t xml:space="preserve">if (this.buscarLote(loteId).quantidadeDisponivel &lt; quantidade) {</t>
  </si>
  <si>
    <t xml:space="preserve">EqualityOperator: substitui por 'this.buscarLote(loteId).quantidadeDisponivel &lt;= quantidade'</t>
  </si>
  <si>
    <t xml:space="preserve">servicoIngressos.js:167:11-167.68:EqualityOperator:this.buscarLote(loteId).quantidadeDisponivel &lt;= quantidade</t>
  </si>
  <si>
    <t xml:space="preserve">throw new RegraNegocioError('DISPONIBILIDADE_INSUFICIENTE');</t>
  </si>
  <si>
    <t xml:space="preserve">servicoIngressos.js:168:37-168.67:StringLiteral:""</t>
  </si>
  <si>
    <t xml:space="preserve">const StatusEvento = Object.freeze({ ATIVO: 'ATIVO', CANCELADO: 'CANCELADO', ENCERRADO: 'ENCERRADO' });</t>
  </si>
  <si>
    <t xml:space="preserve">o domínio só compara o status do evento com ATIVO; o status gravado é o valor recebido em alterarStatusEvento</t>
  </si>
  <si>
    <t xml:space="preserve">modelos.js:5:65-5.76:StringLiteral:""</t>
  </si>
  <si>
    <t xml:space="preserve">modelos.js:5:89-5.100:StringLiteral:""</t>
  </si>
  <si>
    <t xml:space="preserve">o domínio só compara o tipo com PERCENTUAL; qualquer outro valor é tratado como fixo, e o cupom guarda o texto recebido</t>
  </si>
  <si>
    <t xml:space="preserve">modelos.js:15:67-15.73:StringLiteral:""</t>
  </si>
  <si>
    <t xml:space="preserve">this.sequencia++;</t>
  </si>
  <si>
    <t xml:space="preserve">UpdateOperator: substitui por 'this.sequencia--'</t>
  </si>
  <si>
    <t xml:space="preserve">servicoIngressos.js:29:5-29.21:UpdateOperator:this.sequencia--</t>
  </si>
  <si>
    <t xml:space="preserve">const evento = new Evento(this.novoId('EVT'), nome, data, local, capacidade);</t>
  </si>
  <si>
    <t xml:space="preserve">o identificador muda de forma (sem prefixo: -1), mas continua único em cada coleção; o SPEC não define o formato dos identificadores</t>
  </si>
  <si>
    <t xml:space="preserve">servicoIngressos.js:40:43-40.48:StringLiteral:""</t>
  </si>
  <si>
    <t xml:space="preserve">const lote = new Lote(this.novoId('LOT'), eventoId, nome, precoCentavos, quantidadeTotal);</t>
  </si>
  <si>
    <t xml:space="preserve">o identificador muda de forma (sem prefixo: -2), mas continua único em cada coleção; o SPEC não define o formato dos identificadores</t>
  </si>
  <si>
    <t xml:space="preserve">servicoIngressos.js:76:39-76.44:StringLiteral:""</t>
  </si>
  <si>
    <t xml:space="preserve">const reserva = new Reserva(this.novoId('RES'), eventoId);</t>
  </si>
  <si>
    <t xml:space="preserve">o identificador muda de forma (sem prefixo: -3), mas continua único em cada coleção; o SPEC não define o formato dos identificadores</t>
  </si>
  <si>
    <t xml:space="preserve">servicoIngressos.js:109:45-109.50:StringLiteral:""</t>
  </si>
  <si>
    <t xml:space="preserve">sem o atalho, cupons.get(null) devolve undefined, convertido em null pelo operador ??: o desconto é o mesmo</t>
  </si>
  <si>
    <t xml:space="preserve">servicoIngressos.js:153:19-153.47:ConditionalExpression:false</t>
  </si>
  <si>
    <t xml:space="preserve">soma += item.precoCentavos * item.quantidade;</t>
  </si>
  <si>
    <t xml:space="preserve">ArithmeticOperator: substitui por 'item.precoCentavos / item.quantidade'</t>
  </si>
  <si>
    <t xml:space="preserve">calculadoraPreco.js:11:13-11.49:ArithmeticOperator:item.precoCentavos / item.quantidade</t>
  </si>
  <si>
    <t xml:space="preserve">calculadoraPreco.js:21:7-21.29:ConditionalExpression:false</t>
  </si>
  <si>
    <t xml:space="preserve">} else {</t>
  </si>
  <si>
    <t xml:space="preserve">calculadoraPreco.js:30:10-32.4:BlockStatement:{}</t>
  </si>
  <si>
    <t xml:space="preserve">detectado em 65 de 90 execuções; depende de o gerador produzir a entrada que revela o defeito</t>
  </si>
  <si>
    <t xml:space="preserve">EqualityOperator: substitui por 'minimoCentavos &lt;= 0'</t>
  </si>
  <si>
    <t xml:space="preserve">servicoIngressos.js:95:67-95.85:EqualityOperator:minimoCentavos &lt;= 0</t>
  </si>
  <si>
    <t xml:space="preserve">servicoIngressos.js:161:9-161.35:ConditionalExpression:true</t>
  </si>
  <si>
    <t xml:space="preserve">servicoIngressos.js:167:11-167.68:ConditionalExpression:true</t>
  </si>
  <si>
    <t xml:space="preserve">for (const item of itens) {</t>
  </si>
  <si>
    <t xml:space="preserve">calculadoraPreco.js:10:29-12.4:BlockStatement:{}</t>
  </si>
  <si>
    <t xml:space="preserve">CRIADA: 'CRIADA',</t>
  </si>
  <si>
    <t xml:space="preserve">R18 é verificada pela suíte fraca, mas nenhuma propriedade observa a diferença; a suíte forte detecta</t>
  </si>
  <si>
    <t xml:space="preserve">modelos.js:8:11-8.19:StringLiteral:""</t>
  </si>
  <si>
    <t xml:space="preserve">CONFIRMADA: 'CONFIRMADA',</t>
  </si>
  <si>
    <t xml:space="preserve">modelos.js:9:15-9.27:StringLiteral:""</t>
  </si>
  <si>
    <t xml:space="preserve">CANCELADA: 'CANCELADA',</t>
  </si>
  <si>
    <t xml:space="preserve">modelos.js:11:14-11.25:StringLiteral:""</t>
  </si>
  <si>
    <t xml:space="preserve">EXPIRADA: 'EXPIRADA',</t>
  </si>
  <si>
    <t xml:space="preserve">modelos.js:12:13-12.23:StringLiteral:""</t>
  </si>
  <si>
    <t xml:space="preserve">for (const item of reserva.itens) {</t>
  </si>
  <si>
    <t xml:space="preserve">servicoIngressos.js:150:39-152.6:BlockStatement:{}</t>
  </si>
  <si>
    <t xml:space="preserve">modelos.js:5:36-5.102:ObjectLiteral:{}</t>
  </si>
  <si>
    <t xml:space="preserve">modelos.js:5:45-5.52:StringLiteral:""</t>
  </si>
  <si>
    <t xml:space="preserve">servicoIngressos.js:37:64-39.6:BlockStatement:{}</t>
  </si>
  <si>
    <t xml:space="preserve">servicoIngressos.js:37:25-37.43:ConditionalExpression:false</t>
  </si>
  <si>
    <t xml:space="preserve">servicoIngressos.js:37:9-37.43:ConditionalExpression:false</t>
  </si>
  <si>
    <t xml:space="preserve">servicoIngressos.js:37:9-37.62:ConditionalExpression:false</t>
  </si>
  <si>
    <t xml:space="preserve">LogicalOperator: substitui por "nome == null &amp;&amp; nome.trim() === ''"</t>
  </si>
  <si>
    <t xml:space="preserve">servicoIngressos.js:37:9-37.43:LogicalOperator:nome == null &amp;&amp; nome.trim() === ''</t>
  </si>
  <si>
    <t xml:space="preserve">LogicalOperator: substitui por "(nome == null || nome.trim() === '') &amp;&amp; capacidade &lt;= 0"</t>
  </si>
  <si>
    <t xml:space="preserve">servicoIngressos.js:37:9-37.62:LogicalOperator:(nome == null || nome.trim() === '') &amp;&amp; capacidade &lt;= 0</t>
  </si>
  <si>
    <t xml:space="preserve">StringLiteral: substitui por '"Stryker was here!"'</t>
  </si>
  <si>
    <t xml:space="preserve">servicoIngressos.js:37:41-37.43:StringLiteral:"Stryker was here!"</t>
  </si>
  <si>
    <t xml:space="preserve">throw new RegraNegocioError('DADOS_INVALIDOS');</t>
  </si>
  <si>
    <t xml:space="preserve">servicoIngressos.js:38:35-38.52:StringLiteral:""</t>
  </si>
  <si>
    <t xml:space="preserve">if (evento === undefined) {</t>
  </si>
  <si>
    <t xml:space="preserve">servicoIngressos.js:47:31-49.6:BlockStatement:{}</t>
  </si>
  <si>
    <t xml:space="preserve">servicoIngressos.js:47:9-47.29:ConditionalExpression:false</t>
  </si>
  <si>
    <t xml:space="preserve">throw new RegraNegocioError('EVENTO_NAO_ENCONTRADO');</t>
  </si>
  <si>
    <t xml:space="preserve">servicoIngressos.js:48:35-48.58:StringLiteral:""</t>
  </si>
  <si>
    <t xml:space="preserve">alterarStatusEvento(id, status) {</t>
  </si>
  <si>
    <t xml:space="preserve">servicoIngressos.js:53:35-57.4:BlockStatement:{}</t>
  </si>
  <si>
    <t xml:space="preserve">servicoIngressos.js:64:52-66.6:BlockStatement:{}</t>
  </si>
  <si>
    <t xml:space="preserve">servicoIngressos.js:64:9-64.50:ConditionalExpression:false</t>
  </si>
  <si>
    <t xml:space="preserve">LogicalOperator: substitui por 'precoCentavos &lt; 0 &amp;&amp; quantidadeTotal &lt;= 0'</t>
  </si>
  <si>
    <t xml:space="preserve">servicoIngressos.js:64:9-64.50:LogicalOperator:precoCentavos &lt; 0 &amp;&amp; quantidadeTotal &lt;= 0</t>
  </si>
  <si>
    <t xml:space="preserve">servicoIngressos.js:65:35-65.52:StringLiteral:""</t>
  </si>
  <si>
    <t xml:space="preserve">ArithmeticOperator: substitui por 'ocupado - quantidadeTotal'</t>
  </si>
  <si>
    <t xml:space="preserve">servicoIngressos.js:73:9-73.34:ArithmeticOperator:ocupado - quantidadeTotal</t>
  </si>
  <si>
    <t xml:space="preserve">servicoIngressos.js:73:56-75.6:BlockStatement:{}</t>
  </si>
  <si>
    <t xml:space="preserve">servicoIngressos.js:73:9-73.54:ConditionalExpression:false</t>
  </si>
  <si>
    <t xml:space="preserve">throw new RegraNegocioError('CAPACIDADE_EXCEDIDA');</t>
  </si>
  <si>
    <t xml:space="preserve">servicoIngressos.js:74:35-74.56:StringLiteral:""</t>
  </si>
  <si>
    <t xml:space="preserve">cadastrarCupom(codigo, tipo, valor, minimoCentavos, maximoDescontoCentavos, validoAte) {</t>
  </si>
  <si>
    <t xml:space="preserve">servicoIngressos.js:92:90-101.4:BlockStatement:{}</t>
  </si>
  <si>
    <t xml:space="preserve">servicoIngressos.js:95:104-97.6:BlockStatement:{}</t>
  </si>
  <si>
    <t xml:space="preserve">servicoIngressos.js:95:9-95.102:ConditionalExpression:false</t>
  </si>
  <si>
    <t xml:space="preserve">servicoIngressos.js:95:9-95.47:ConditionalExpression:false</t>
  </si>
  <si>
    <t xml:space="preserve">servicoIngressos.js:95:9-95.63:ConditionalExpression:false</t>
  </si>
  <si>
    <t xml:space="preserve">servicoIngressos.js:95:9-95.85:ConditionalExpression:false</t>
  </si>
  <si>
    <t xml:space="preserve">LogicalOperator: substitui por "(codigo == null || codigo.trim() === '' || !valorValido || minimoCentavos &lt; 0) &amp;&amp; !maximoValido"</t>
  </si>
  <si>
    <t xml:space="preserve">servicoIngressos.js:95:9-95.102:LogicalOperator:(codigo == null || codigo.trim() === '' || !valorValido || minimoCentavos &lt; 0) &amp;&amp; !maximoValido</t>
  </si>
  <si>
    <t xml:space="preserve">LogicalOperator: substitui por "codigo == null &amp;&amp; codigo.trim() === ''"</t>
  </si>
  <si>
    <t xml:space="preserve">servicoIngressos.js:95:9-95.47:LogicalOperator:codigo == null &amp;&amp; codigo.trim() === ''</t>
  </si>
  <si>
    <t xml:space="preserve">LogicalOperator: substitui por "(codigo == null || codigo.trim() === '') &amp;&amp; !valorValido"</t>
  </si>
  <si>
    <t xml:space="preserve">servicoIngressos.js:95:9-95.63:LogicalOperator:(codigo == null || codigo.trim() === '') &amp;&amp; !valorValido</t>
  </si>
  <si>
    <t xml:space="preserve">LogicalOperator: substitui por "(codigo == null || codigo.trim() === '' || !valorValido) &amp;&amp; minimoCentavos &lt; 0"</t>
  </si>
  <si>
    <t xml:space="preserve">servicoIngressos.js:95:9-95.85:LogicalOperator:(codigo == null || codigo.trim() === '' || !valorValido) &amp;&amp; minimoCentavos &lt; 0</t>
  </si>
  <si>
    <t xml:space="preserve">servicoIngressos.js:95:45-95.47:StringLiteral:"Stryker was here!"</t>
  </si>
  <si>
    <t xml:space="preserve">servicoIngressos.js:96:35-96.52:StringLiteral:""</t>
  </si>
  <si>
    <t xml:space="preserve">if (reserva === undefined) {</t>
  </si>
  <si>
    <t xml:space="preserve">servicoIngressos.js:116:32-118.6:BlockStatement:{}</t>
  </si>
  <si>
    <t xml:space="preserve">servicoIngressos.js:116:9-116.30:ConditionalExpression:false</t>
  </si>
  <si>
    <t xml:space="preserve">throw new RegraNegocioError('RESERVA_NAO_ENCONTRADA');</t>
  </si>
  <si>
    <t xml:space="preserve">servicoIngressos.js:117:35-117.59:StringLiteral:""</t>
  </si>
  <si>
    <t xml:space="preserve">aplicarCupom(reservaId, codigo) {</t>
  </si>
  <si>
    <t xml:space="preserve">servicoIngressos.js:139:35-144.4:BlockStatement:{}</t>
  </si>
  <si>
    <t xml:space="preserve">servicoIngressos.js:141:5-141.49:CallExpression:;</t>
  </si>
  <si>
    <t xml:space="preserve">function exigirEventoAtivo(evento) {</t>
  </si>
  <si>
    <t xml:space="preserve">servicoIngressos.js:228:36-232.2:BlockStatement:{}</t>
  </si>
  <si>
    <t xml:space="preserve">if (evento.status !== StatusEvento.ATIVO) {</t>
  </si>
  <si>
    <t xml:space="preserve">servicoIngressos.js:229:45-231.4:BlockStatement:{}</t>
  </si>
  <si>
    <t xml:space="preserve">servicoIngressos.js:229:7-229.43:ConditionalExpression:false</t>
  </si>
  <si>
    <t xml:space="preserve">throw new RegraNegocioError('EVENTO_INDISPONIVEL');</t>
  </si>
  <si>
    <t xml:space="preserve">servicoIngressos.js:230:33-230.54:StringLiteral:""</t>
  </si>
  <si>
    <t xml:space="preserve">Classes finais por ecossistema e suíte (atualiza com a revisão)</t>
  </si>
  <si>
    <t xml:space="preserve">Total</t>
  </si>
  <si>
    <t xml:space="preserve">Revisados</t>
  </si>
  <si>
    <t xml:space="preserve">Divergências</t>
  </si>
  <si>
    <t xml:space="preserve">Concordância entre a pré-classificação e a revisão (só mutantes revisados):</t>
  </si>
  <si>
    <t xml:space="preserve">Concordância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</si>
</sst>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8"/>
      <color rgb="FF7F7F7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A4D69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A4D6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A4D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</row>
    <row r="4" customFormat="false" ht="31.5" hidden="false" customHeight="true" outlineLevel="0" collapsed="false">
      <c r="A4" s="2" t="s">
        <v>2</v>
      </c>
    </row>
    <row r="5" customFormat="false" ht="31.5" hidden="false" customHeight="true" outlineLevel="0" collapsed="false">
      <c r="A5" s="2" t="s">
        <v>3</v>
      </c>
    </row>
    <row r="6" customFormat="false" ht="31.5" hidden="false" customHeight="true" outlineLevel="0" collapsed="false">
      <c r="A6" s="2" t="s">
        <v>4</v>
      </c>
    </row>
    <row r="7" customFormat="false" ht="31.5" hidden="false" customHeight="true" outlineLevel="0" collapsed="false">
      <c r="A7" s="2" t="s">
        <v>5</v>
      </c>
    </row>
    <row r="8" customFormat="false" ht="31.5" hidden="false" customHeight="true" outlineLevel="0" collapsed="false"/>
    <row r="9" customFormat="false" ht="31.5" hidden="false" customHeight="true" outlineLevel="0" collapsed="false">
      <c r="A9" s="3" t="s">
        <v>6</v>
      </c>
    </row>
    <row r="10" customFormat="false" ht="31.5" hidden="false" customHeight="true" outlineLevel="0" collapsed="false">
      <c r="A10" s="2" t="s">
        <v>7</v>
      </c>
    </row>
    <row r="11" customFormat="false" ht="31.5" hidden="false" customHeight="true" outlineLevel="0" collapsed="false">
      <c r="A11" s="2" t="s">
        <v>8</v>
      </c>
    </row>
    <row r="12" customFormat="false" ht="31.5" hidden="false" customHeight="true" outlineLevel="0" collapsed="false">
      <c r="A12" s="2" t="s">
        <v>9</v>
      </c>
    </row>
    <row r="13" customFormat="false" ht="31.5" hidden="false" customHeight="tru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20"/>
    <col collapsed="false" customWidth="true" hidden="false" outlineLevel="0" max="5" min="5" style="0" width="7"/>
    <col collapsed="false" customWidth="true" hidden="false" outlineLevel="0" max="6" min="6" style="0" width="46"/>
    <col collapsed="false" customWidth="true" hidden="false" outlineLevel="0" max="7" min="7" style="0" width="40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2" min="10" style="0" width="8"/>
    <col collapsed="false" customWidth="true" hidden="false" outlineLevel="0" max="13" min="13" style="0" width="10"/>
    <col collapsed="false" customWidth="true" hidden="false" outlineLevel="0" max="14" min="14" style="0" width="18"/>
    <col collapsed="false" customWidth="true" hidden="false" outlineLevel="0" max="15" min="15" style="0" width="48"/>
    <col collapsed="false" customWidth="true" hidden="false" outlineLevel="0" max="16" min="16" style="0" width="18"/>
    <col collapsed="false" customWidth="true" hidden="false" outlineLevel="0" max="17" min="17" style="0" width="36"/>
    <col collapsed="false" customWidth="true" hidden="false" outlineLevel="0" max="18" min="18" style="0" width="18"/>
    <col collapsed="false" customWidth="true" hidden="false" outlineLevel="0" max="19" min="19" style="0" width="10"/>
    <col collapsed="false" customWidth="true" hidden="false" outlineLevel="0" max="20" min="20" style="0" width="30"/>
  </cols>
  <sheetData>
    <row r="1" customFormat="false" ht="33.75" hidden="false" customHeight="true" outlineLevel="0" collapsed="false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  <c r="I1" s="4" t="s">
        <v>19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  <c r="R1" s="4" t="s">
        <v>28</v>
      </c>
      <c r="S1" s="4" t="s">
        <v>29</v>
      </c>
      <c r="T1" s="4" t="s">
        <v>30</v>
      </c>
    </row>
    <row r="2" customFormat="false" ht="23.85" hidden="false" customHeight="false" outlineLevel="0" collapsed="false">
      <c r="A2" s="5" t="s">
        <v>31</v>
      </c>
      <c r="B2" s="5" t="s">
        <v>32</v>
      </c>
      <c r="C2" s="5" t="s">
        <v>33</v>
      </c>
      <c r="D2" s="5" t="s">
        <v>34</v>
      </c>
      <c r="E2" s="5" t="n">
        <v>61</v>
      </c>
      <c r="F2" s="5" t="s">
        <v>35</v>
      </c>
      <c r="G2" s="5" t="s">
        <v>36</v>
      </c>
      <c r="H2" s="5" t="s">
        <v>37</v>
      </c>
      <c r="I2" s="5" t="n">
        <v>0</v>
      </c>
      <c r="J2" s="5" t="n">
        <v>0</v>
      </c>
      <c r="K2" s="5" t="n">
        <v>0</v>
      </c>
      <c r="L2" s="5" t="n">
        <v>0</v>
      </c>
      <c r="M2" s="5" t="s">
        <v>38</v>
      </c>
      <c r="N2" s="5" t="s">
        <v>39</v>
      </c>
      <c r="O2" s="5" t="s">
        <v>40</v>
      </c>
      <c r="P2" s="5" t="s">
        <v>39</v>
      </c>
      <c r="Q2" s="5" t="s">
        <v>41</v>
      </c>
      <c r="R2" s="6" t="str">
        <f aca="false">IF(P2="",N2,P2)</f>
        <v>entrada não gerada</v>
      </c>
      <c r="S2" s="6" t="str">
        <f aca="false">IF(P2="","",IF(P2=N2,"sim","não"))</f>
        <v>sim</v>
      </c>
    </row>
    <row r="3" customFormat="false" ht="35.05" hidden="false" customHeight="false" outlineLevel="0" collapsed="false">
      <c r="A3" s="7" t="n">
        <v>1</v>
      </c>
      <c r="B3" s="7" t="s">
        <v>32</v>
      </c>
      <c r="C3" s="7" t="s">
        <v>42</v>
      </c>
      <c r="D3" s="7" t="s">
        <v>34</v>
      </c>
      <c r="E3" s="7" t="n">
        <v>40</v>
      </c>
      <c r="F3" s="7" t="s">
        <v>43</v>
      </c>
      <c r="G3" s="7" t="s">
        <v>44</v>
      </c>
      <c r="H3" s="7" t="s">
        <v>45</v>
      </c>
      <c r="I3" s="7" t="n">
        <v>88</v>
      </c>
      <c r="J3" s="8" t="n">
        <v>0.933</v>
      </c>
      <c r="K3" s="8" t="n">
        <v>1</v>
      </c>
      <c r="L3" s="8" t="n">
        <v>1</v>
      </c>
      <c r="M3" s="7" t="s">
        <v>38</v>
      </c>
      <c r="N3" s="7" t="s">
        <v>39</v>
      </c>
      <c r="O3" s="7" t="s">
        <v>46</v>
      </c>
      <c r="P3" s="9"/>
      <c r="Q3" s="9"/>
      <c r="R3" s="7" t="str">
        <f aca="false">IF(P3="",N3,P3)</f>
        <v>entrada não gerada</v>
      </c>
      <c r="S3" s="7" t="str">
        <f aca="false">IF(P3="","",IF(P3=N3,"sim","não"))</f>
        <v/>
      </c>
      <c r="T3" s="10" t="s">
        <v>47</v>
      </c>
    </row>
    <row r="4" customFormat="false" ht="23.85" hidden="false" customHeight="false" outlineLevel="0" collapsed="false">
      <c r="A4" s="7" t="n">
        <v>2</v>
      </c>
      <c r="B4" s="7" t="s">
        <v>32</v>
      </c>
      <c r="C4" s="7" t="s">
        <v>42</v>
      </c>
      <c r="D4" s="7" t="s">
        <v>34</v>
      </c>
      <c r="E4" s="7" t="n">
        <v>55</v>
      </c>
      <c r="F4" s="7" t="s">
        <v>48</v>
      </c>
      <c r="G4" s="7" t="s">
        <v>49</v>
      </c>
      <c r="H4" s="7" t="s">
        <v>37</v>
      </c>
      <c r="I4" s="7" t="n">
        <v>71</v>
      </c>
      <c r="J4" s="8" t="n">
        <v>0.367</v>
      </c>
      <c r="K4" s="8" t="n">
        <v>1</v>
      </c>
      <c r="L4" s="8" t="n">
        <v>1</v>
      </c>
      <c r="M4" s="7" t="s">
        <v>38</v>
      </c>
      <c r="N4" s="7" t="s">
        <v>39</v>
      </c>
      <c r="O4" s="7" t="s">
        <v>50</v>
      </c>
      <c r="P4" s="9"/>
      <c r="Q4" s="9"/>
      <c r="R4" s="7" t="str">
        <f aca="false">IF(P4="",N4,P4)</f>
        <v>entrada não gerada</v>
      </c>
      <c r="S4" s="7" t="str">
        <f aca="false">IF(P4="","",IF(P4=N4,"sim","não"))</f>
        <v/>
      </c>
      <c r="T4" s="10" t="s">
        <v>51</v>
      </c>
    </row>
    <row r="5" customFormat="false" ht="23.85" hidden="false" customHeight="false" outlineLevel="0" collapsed="false">
      <c r="A5" s="7" t="n">
        <v>3</v>
      </c>
      <c r="B5" s="7" t="s">
        <v>32</v>
      </c>
      <c r="C5" s="7" t="s">
        <v>42</v>
      </c>
      <c r="D5" s="7" t="s">
        <v>34</v>
      </c>
      <c r="E5" s="7" t="n">
        <v>58</v>
      </c>
      <c r="F5" s="7" t="s">
        <v>52</v>
      </c>
      <c r="G5" s="7" t="s">
        <v>36</v>
      </c>
      <c r="H5" s="7" t="s">
        <v>37</v>
      </c>
      <c r="I5" s="7" t="n">
        <v>42</v>
      </c>
      <c r="J5" s="8" t="n">
        <v>0</v>
      </c>
      <c r="K5" s="8" t="n">
        <v>0.4</v>
      </c>
      <c r="L5" s="8" t="n">
        <v>1</v>
      </c>
      <c r="M5" s="7" t="s">
        <v>38</v>
      </c>
      <c r="N5" s="7" t="s">
        <v>39</v>
      </c>
      <c r="O5" s="7" t="s">
        <v>53</v>
      </c>
      <c r="P5" s="9"/>
      <c r="Q5" s="9"/>
      <c r="R5" s="7" t="str">
        <f aca="false">IF(P5="",N5,P5)</f>
        <v>entrada não gerada</v>
      </c>
      <c r="S5" s="7" t="str">
        <f aca="false">IF(P5="","",IF(P5=N5,"sim","não"))</f>
        <v/>
      </c>
      <c r="T5" s="10" t="s">
        <v>54</v>
      </c>
    </row>
    <row r="6" customFormat="false" ht="23.85" hidden="false" customHeight="false" outlineLevel="0" collapsed="false">
      <c r="A6" s="7" t="n">
        <v>4</v>
      </c>
      <c r="B6" s="7" t="s">
        <v>32</v>
      </c>
      <c r="C6" s="7" t="s">
        <v>42</v>
      </c>
      <c r="D6" s="7" t="s">
        <v>34</v>
      </c>
      <c r="E6" s="7" t="n">
        <v>58</v>
      </c>
      <c r="F6" s="7" t="s">
        <v>52</v>
      </c>
      <c r="G6" s="7" t="s">
        <v>55</v>
      </c>
      <c r="H6" s="7" t="s">
        <v>37</v>
      </c>
      <c r="I6" s="7" t="n">
        <v>89</v>
      </c>
      <c r="J6" s="8" t="n">
        <v>0.967</v>
      </c>
      <c r="K6" s="8" t="n">
        <v>1</v>
      </c>
      <c r="L6" s="8" t="n">
        <v>1</v>
      </c>
      <c r="M6" s="7" t="s">
        <v>38</v>
      </c>
      <c r="N6" s="7" t="s">
        <v>39</v>
      </c>
      <c r="O6" s="7" t="s">
        <v>56</v>
      </c>
      <c r="P6" s="9"/>
      <c r="Q6" s="9"/>
      <c r="R6" s="7" t="str">
        <f aca="false">IF(P6="",N6,P6)</f>
        <v>entrada não gerada</v>
      </c>
      <c r="S6" s="7" t="str">
        <f aca="false">IF(P6="","",IF(P6=N6,"sim","não"))</f>
        <v/>
      </c>
      <c r="T6" s="10" t="s">
        <v>57</v>
      </c>
    </row>
    <row r="7" customFormat="false" ht="23.85" hidden="false" customHeight="false" outlineLevel="0" collapsed="false">
      <c r="A7" s="7" t="n">
        <v>5</v>
      </c>
      <c r="B7" s="7" t="s">
        <v>32</v>
      </c>
      <c r="C7" s="7" t="s">
        <v>42</v>
      </c>
      <c r="D7" s="7" t="s">
        <v>34</v>
      </c>
      <c r="E7" s="7" t="n">
        <v>58</v>
      </c>
      <c r="F7" s="7" t="s">
        <v>52</v>
      </c>
      <c r="G7" s="7" t="s">
        <v>58</v>
      </c>
      <c r="H7" s="7" t="s">
        <v>37</v>
      </c>
      <c r="I7" s="7" t="n">
        <v>74</v>
      </c>
      <c r="J7" s="8" t="n">
        <v>0.467</v>
      </c>
      <c r="K7" s="8" t="n">
        <v>1</v>
      </c>
      <c r="L7" s="8" t="n">
        <v>1</v>
      </c>
      <c r="M7" s="7" t="s">
        <v>38</v>
      </c>
      <c r="N7" s="7" t="s">
        <v>39</v>
      </c>
      <c r="O7" s="7" t="s">
        <v>59</v>
      </c>
      <c r="P7" s="9"/>
      <c r="Q7" s="9"/>
      <c r="R7" s="7" t="str">
        <f aca="false">IF(P7="",N7,P7)</f>
        <v>entrada não gerada</v>
      </c>
      <c r="S7" s="7" t="str">
        <f aca="false">IF(P7="","",IF(P7=N7,"sim","não"))</f>
        <v/>
      </c>
      <c r="T7" s="10" t="s">
        <v>60</v>
      </c>
    </row>
    <row r="8" customFormat="false" ht="23.85" hidden="false" customHeight="false" outlineLevel="0" collapsed="false">
      <c r="A8" s="7" t="n">
        <v>6</v>
      </c>
      <c r="B8" s="7" t="s">
        <v>32</v>
      </c>
      <c r="C8" s="7" t="s">
        <v>42</v>
      </c>
      <c r="D8" s="7" t="s">
        <v>34</v>
      </c>
      <c r="E8" s="7" t="n">
        <v>61</v>
      </c>
      <c r="F8" s="7" t="s">
        <v>35</v>
      </c>
      <c r="G8" s="7" t="s">
        <v>36</v>
      </c>
      <c r="H8" s="7" t="s">
        <v>37</v>
      </c>
      <c r="I8" s="7" t="n">
        <v>10</v>
      </c>
      <c r="J8" s="8" t="n">
        <v>0</v>
      </c>
      <c r="K8" s="8" t="n">
        <v>0</v>
      </c>
      <c r="L8" s="8" t="n">
        <v>0.333</v>
      </c>
      <c r="M8" s="7" t="s">
        <v>38</v>
      </c>
      <c r="N8" s="7" t="s">
        <v>39</v>
      </c>
      <c r="O8" s="7" t="s">
        <v>61</v>
      </c>
      <c r="P8" s="9"/>
      <c r="Q8" s="9"/>
      <c r="R8" s="7" t="str">
        <f aca="false">IF(P8="",N8,P8)</f>
        <v>entrada não gerada</v>
      </c>
      <c r="S8" s="7" t="str">
        <f aca="false">IF(P8="","",IF(P8=N8,"sim","não"))</f>
        <v/>
      </c>
      <c r="T8" s="10" t="s">
        <v>62</v>
      </c>
    </row>
    <row r="9" customFormat="false" ht="23.85" hidden="false" customHeight="false" outlineLevel="0" collapsed="false">
      <c r="A9" s="7" t="n">
        <v>7</v>
      </c>
      <c r="B9" s="7" t="s">
        <v>32</v>
      </c>
      <c r="C9" s="7" t="s">
        <v>42</v>
      </c>
      <c r="D9" s="7" t="s">
        <v>34</v>
      </c>
      <c r="E9" s="7" t="n">
        <v>61</v>
      </c>
      <c r="F9" s="7" t="s">
        <v>35</v>
      </c>
      <c r="G9" s="7" t="s">
        <v>63</v>
      </c>
      <c r="H9" s="7" t="s">
        <v>37</v>
      </c>
      <c r="I9" s="7" t="n">
        <v>76</v>
      </c>
      <c r="J9" s="8" t="n">
        <v>0.533</v>
      </c>
      <c r="K9" s="8" t="n">
        <v>1</v>
      </c>
      <c r="L9" s="8" t="n">
        <v>1</v>
      </c>
      <c r="M9" s="7" t="s">
        <v>38</v>
      </c>
      <c r="N9" s="7" t="s">
        <v>39</v>
      </c>
      <c r="O9" s="7" t="s">
        <v>64</v>
      </c>
      <c r="P9" s="9"/>
      <c r="Q9" s="9"/>
      <c r="R9" s="7" t="str">
        <f aca="false">IF(P9="",N9,P9)</f>
        <v>entrada não gerada</v>
      </c>
      <c r="S9" s="7" t="str">
        <f aca="false">IF(P9="","",IF(P9=N9,"sim","não"))</f>
        <v/>
      </c>
      <c r="T9" s="10" t="s">
        <v>65</v>
      </c>
    </row>
    <row r="10" customFormat="false" ht="23.85" hidden="false" customHeight="false" outlineLevel="0" collapsed="false">
      <c r="A10" s="7" t="n">
        <v>8</v>
      </c>
      <c r="B10" s="7" t="s">
        <v>32</v>
      </c>
      <c r="C10" s="7" t="s">
        <v>42</v>
      </c>
      <c r="D10" s="7" t="s">
        <v>34</v>
      </c>
      <c r="E10" s="7" t="n">
        <v>61</v>
      </c>
      <c r="F10" s="7" t="s">
        <v>35</v>
      </c>
      <c r="G10" s="7" t="s">
        <v>55</v>
      </c>
      <c r="H10" s="7" t="s">
        <v>37</v>
      </c>
      <c r="I10" s="7" t="n">
        <v>73</v>
      </c>
      <c r="J10" s="8" t="n">
        <v>0.433</v>
      </c>
      <c r="K10" s="8" t="n">
        <v>1</v>
      </c>
      <c r="L10" s="8" t="n">
        <v>1</v>
      </c>
      <c r="M10" s="7" t="s">
        <v>38</v>
      </c>
      <c r="N10" s="7" t="s">
        <v>39</v>
      </c>
      <c r="O10" s="7" t="s">
        <v>66</v>
      </c>
      <c r="P10" s="9"/>
      <c r="Q10" s="9"/>
      <c r="R10" s="7" t="str">
        <f aca="false">IF(P10="",N10,P10)</f>
        <v>entrada não gerada</v>
      </c>
      <c r="S10" s="7" t="str">
        <f aca="false">IF(P10="","",IF(P10=N10,"sim","não"))</f>
        <v/>
      </c>
      <c r="T10" s="10" t="s">
        <v>67</v>
      </c>
    </row>
    <row r="11" customFormat="false" ht="23.85" hidden="false" customHeight="false" outlineLevel="0" collapsed="false">
      <c r="A11" s="7" t="n">
        <v>9</v>
      </c>
      <c r="B11" s="7" t="s">
        <v>32</v>
      </c>
      <c r="C11" s="7" t="s">
        <v>42</v>
      </c>
      <c r="D11" s="7" t="s">
        <v>34</v>
      </c>
      <c r="E11" s="7" t="n">
        <v>61</v>
      </c>
      <c r="F11" s="7" t="s">
        <v>35</v>
      </c>
      <c r="G11" s="7" t="s">
        <v>58</v>
      </c>
      <c r="H11" s="7" t="s">
        <v>37</v>
      </c>
      <c r="I11" s="7" t="n">
        <v>73</v>
      </c>
      <c r="J11" s="8" t="n">
        <v>0.433</v>
      </c>
      <c r="K11" s="8" t="n">
        <v>1</v>
      </c>
      <c r="L11" s="8" t="n">
        <v>1</v>
      </c>
      <c r="M11" s="7" t="s">
        <v>38</v>
      </c>
      <c r="N11" s="7" t="s">
        <v>39</v>
      </c>
      <c r="O11" s="7" t="s">
        <v>66</v>
      </c>
      <c r="P11" s="9"/>
      <c r="Q11" s="9"/>
      <c r="R11" s="7" t="str">
        <f aca="false">IF(P11="",N11,P11)</f>
        <v>entrada não gerada</v>
      </c>
      <c r="S11" s="7" t="str">
        <f aca="false">IF(P11="","",IF(P11=N11,"sim","não"))</f>
        <v/>
      </c>
      <c r="T11" s="10" t="s">
        <v>68</v>
      </c>
    </row>
    <row r="12" customFormat="false" ht="23.85" hidden="false" customHeight="false" outlineLevel="0" collapsed="false">
      <c r="A12" s="7" t="n">
        <v>10</v>
      </c>
      <c r="B12" s="7" t="s">
        <v>32</v>
      </c>
      <c r="C12" s="7" t="s">
        <v>42</v>
      </c>
      <c r="D12" s="7" t="s">
        <v>34</v>
      </c>
      <c r="E12" s="7" t="n">
        <v>65</v>
      </c>
      <c r="F12" s="7" t="s">
        <v>69</v>
      </c>
      <c r="G12" s="7" t="s">
        <v>63</v>
      </c>
      <c r="H12" s="7" t="s">
        <v>70</v>
      </c>
      <c r="I12" s="7" t="n">
        <v>64</v>
      </c>
      <c r="J12" s="8" t="n">
        <v>0.133</v>
      </c>
      <c r="K12" s="8" t="n">
        <v>1</v>
      </c>
      <c r="L12" s="8" t="n">
        <v>1</v>
      </c>
      <c r="M12" s="7" t="s">
        <v>38</v>
      </c>
      <c r="N12" s="7" t="s">
        <v>39</v>
      </c>
      <c r="O12" s="7" t="s">
        <v>71</v>
      </c>
      <c r="P12" s="9"/>
      <c r="Q12" s="9"/>
      <c r="R12" s="7" t="str">
        <f aca="false">IF(P12="",N12,P12)</f>
        <v>entrada não gerada</v>
      </c>
      <c r="S12" s="7" t="str">
        <f aca="false">IF(P12="","",IF(P12=N12,"sim","não"))</f>
        <v/>
      </c>
      <c r="T12" s="10" t="s">
        <v>72</v>
      </c>
    </row>
    <row r="13" customFormat="false" ht="23.85" hidden="false" customHeight="false" outlineLevel="0" collapsed="false">
      <c r="A13" s="7" t="n">
        <v>11</v>
      </c>
      <c r="B13" s="7" t="s">
        <v>32</v>
      </c>
      <c r="C13" s="7" t="s">
        <v>42</v>
      </c>
      <c r="D13" s="7" t="s">
        <v>34</v>
      </c>
      <c r="E13" s="7" t="n">
        <v>65</v>
      </c>
      <c r="F13" s="7" t="s">
        <v>69</v>
      </c>
      <c r="G13" s="7" t="s">
        <v>73</v>
      </c>
      <c r="H13" s="7" t="s">
        <v>70</v>
      </c>
      <c r="I13" s="7" t="n">
        <v>59</v>
      </c>
      <c r="J13" s="8" t="n">
        <v>0.133</v>
      </c>
      <c r="K13" s="8" t="n">
        <v>0.833</v>
      </c>
      <c r="L13" s="8" t="n">
        <v>1</v>
      </c>
      <c r="M13" s="7" t="s">
        <v>38</v>
      </c>
      <c r="N13" s="7" t="s">
        <v>39</v>
      </c>
      <c r="O13" s="7" t="s">
        <v>74</v>
      </c>
      <c r="P13" s="9"/>
      <c r="Q13" s="9"/>
      <c r="R13" s="7" t="str">
        <f aca="false">IF(P13="",N13,P13)</f>
        <v>entrada não gerada</v>
      </c>
      <c r="S13" s="7" t="str">
        <f aca="false">IF(P13="","",IF(P13=N13,"sim","não"))</f>
        <v/>
      </c>
      <c r="T13" s="10" t="s">
        <v>75</v>
      </c>
    </row>
    <row r="14" customFormat="false" ht="23.85" hidden="false" customHeight="false" outlineLevel="0" collapsed="false">
      <c r="A14" s="7" t="n">
        <v>12</v>
      </c>
      <c r="B14" s="7" t="s">
        <v>32</v>
      </c>
      <c r="C14" s="7" t="s">
        <v>42</v>
      </c>
      <c r="D14" s="7" t="s">
        <v>34</v>
      </c>
      <c r="E14" s="7" t="n">
        <v>65</v>
      </c>
      <c r="F14" s="7" t="s">
        <v>69</v>
      </c>
      <c r="G14" s="7" t="s">
        <v>49</v>
      </c>
      <c r="H14" s="7" t="s">
        <v>70</v>
      </c>
      <c r="I14" s="7" t="n">
        <v>61</v>
      </c>
      <c r="J14" s="8" t="n">
        <v>0.133</v>
      </c>
      <c r="K14" s="8" t="n">
        <v>0.9</v>
      </c>
      <c r="L14" s="8" t="n">
        <v>1</v>
      </c>
      <c r="M14" s="7" t="s">
        <v>38</v>
      </c>
      <c r="N14" s="7" t="s">
        <v>39</v>
      </c>
      <c r="O14" s="7" t="s">
        <v>76</v>
      </c>
      <c r="P14" s="9"/>
      <c r="Q14" s="9"/>
      <c r="R14" s="7" t="str">
        <f aca="false">IF(P14="",N14,P14)</f>
        <v>entrada não gerada</v>
      </c>
      <c r="S14" s="7" t="str">
        <f aca="false">IF(P14="","",IF(P14=N14,"sim","não"))</f>
        <v/>
      </c>
      <c r="T14" s="10" t="s">
        <v>77</v>
      </c>
    </row>
    <row r="15" customFormat="false" ht="23.85" hidden="false" customHeight="false" outlineLevel="0" collapsed="false">
      <c r="A15" s="7" t="n">
        <v>13</v>
      </c>
      <c r="B15" s="7" t="s">
        <v>32</v>
      </c>
      <c r="C15" s="7" t="s">
        <v>42</v>
      </c>
      <c r="D15" s="7" t="s">
        <v>34</v>
      </c>
      <c r="E15" s="7" t="n">
        <v>66</v>
      </c>
      <c r="F15" s="7" t="s">
        <v>78</v>
      </c>
      <c r="G15" s="7" t="s">
        <v>79</v>
      </c>
      <c r="H15" s="7" t="s">
        <v>70</v>
      </c>
      <c r="I15" s="7" t="n">
        <v>59</v>
      </c>
      <c r="J15" s="8" t="n">
        <v>0</v>
      </c>
      <c r="K15" s="8" t="n">
        <v>0.967</v>
      </c>
      <c r="L15" s="8" t="n">
        <v>1</v>
      </c>
      <c r="M15" s="7" t="s">
        <v>38</v>
      </c>
      <c r="N15" s="7" t="s">
        <v>39</v>
      </c>
      <c r="O15" s="7" t="s">
        <v>74</v>
      </c>
      <c r="P15" s="9"/>
      <c r="Q15" s="9"/>
      <c r="R15" s="7" t="str">
        <f aca="false">IF(P15="",N15,P15)</f>
        <v>entrada não gerada</v>
      </c>
      <c r="S15" s="7" t="str">
        <f aca="false">IF(P15="","",IF(P15=N15,"sim","não"))</f>
        <v/>
      </c>
      <c r="T15" s="10" t="s">
        <v>80</v>
      </c>
    </row>
    <row r="16" customFormat="false" ht="23.85" hidden="false" customHeight="false" outlineLevel="0" collapsed="false">
      <c r="A16" s="7" t="n">
        <v>14</v>
      </c>
      <c r="B16" s="7" t="s">
        <v>32</v>
      </c>
      <c r="C16" s="7" t="s">
        <v>42</v>
      </c>
      <c r="D16" s="7" t="s">
        <v>34</v>
      </c>
      <c r="E16" s="7" t="n">
        <v>66</v>
      </c>
      <c r="F16" s="7" t="s">
        <v>78</v>
      </c>
      <c r="G16" s="7" t="s">
        <v>81</v>
      </c>
      <c r="H16" s="7" t="s">
        <v>70</v>
      </c>
      <c r="I16" s="7" t="n">
        <v>49</v>
      </c>
      <c r="J16" s="8" t="n">
        <v>0</v>
      </c>
      <c r="K16" s="8" t="n">
        <v>0.633</v>
      </c>
      <c r="L16" s="8" t="n">
        <v>1</v>
      </c>
      <c r="M16" s="7" t="s">
        <v>38</v>
      </c>
      <c r="N16" s="7" t="s">
        <v>39</v>
      </c>
      <c r="O16" s="7" t="s">
        <v>82</v>
      </c>
      <c r="P16" s="9"/>
      <c r="Q16" s="9"/>
      <c r="R16" s="7" t="str">
        <f aca="false">IF(P16="",N16,P16)</f>
        <v>entrada não gerada</v>
      </c>
      <c r="S16" s="7" t="str">
        <f aca="false">IF(P16="","",IF(P16=N16,"sim","não"))</f>
        <v/>
      </c>
      <c r="T16" s="10" t="s">
        <v>83</v>
      </c>
    </row>
    <row r="17" customFormat="false" ht="23.85" hidden="false" customHeight="false" outlineLevel="0" collapsed="false">
      <c r="A17" s="7" t="n">
        <v>15</v>
      </c>
      <c r="B17" s="7" t="s">
        <v>32</v>
      </c>
      <c r="C17" s="7" t="s">
        <v>42</v>
      </c>
      <c r="D17" s="7" t="s">
        <v>34</v>
      </c>
      <c r="E17" s="7" t="n">
        <v>70</v>
      </c>
      <c r="F17" s="7" t="s">
        <v>84</v>
      </c>
      <c r="G17" s="7" t="s">
        <v>63</v>
      </c>
      <c r="H17" s="7" t="s">
        <v>70</v>
      </c>
      <c r="I17" s="7" t="n">
        <v>89</v>
      </c>
      <c r="J17" s="8" t="n">
        <v>0.967</v>
      </c>
      <c r="K17" s="8" t="n">
        <v>1</v>
      </c>
      <c r="L17" s="8" t="n">
        <v>1</v>
      </c>
      <c r="M17" s="7" t="s">
        <v>38</v>
      </c>
      <c r="N17" s="7" t="s">
        <v>39</v>
      </c>
      <c r="O17" s="7" t="s">
        <v>56</v>
      </c>
      <c r="P17" s="9"/>
      <c r="Q17" s="9"/>
      <c r="R17" s="7" t="str">
        <f aca="false">IF(P17="",N17,P17)</f>
        <v>entrada não gerada</v>
      </c>
      <c r="S17" s="7" t="str">
        <f aca="false">IF(P17="","",IF(P17=N17,"sim","não"))</f>
        <v/>
      </c>
      <c r="T17" s="10" t="s">
        <v>85</v>
      </c>
    </row>
    <row r="18" customFormat="false" ht="23.85" hidden="false" customHeight="false" outlineLevel="0" collapsed="false">
      <c r="A18" s="7" t="n">
        <v>16</v>
      </c>
      <c r="B18" s="7" t="s">
        <v>32</v>
      </c>
      <c r="C18" s="7" t="s">
        <v>42</v>
      </c>
      <c r="D18" s="7" t="s">
        <v>34</v>
      </c>
      <c r="E18" s="7" t="n">
        <v>70</v>
      </c>
      <c r="F18" s="7" t="s">
        <v>84</v>
      </c>
      <c r="G18" s="7" t="s">
        <v>73</v>
      </c>
      <c r="H18" s="7" t="s">
        <v>70</v>
      </c>
      <c r="I18" s="7" t="n">
        <v>63</v>
      </c>
      <c r="J18" s="8" t="n">
        <v>0.133</v>
      </c>
      <c r="K18" s="8" t="n">
        <v>0.967</v>
      </c>
      <c r="L18" s="8" t="n">
        <v>1</v>
      </c>
      <c r="M18" s="7" t="s">
        <v>38</v>
      </c>
      <c r="N18" s="7" t="s">
        <v>39</v>
      </c>
      <c r="O18" s="7" t="s">
        <v>86</v>
      </c>
      <c r="P18" s="9"/>
      <c r="Q18" s="9"/>
      <c r="R18" s="7" t="str">
        <f aca="false">IF(P18="",N18,P18)</f>
        <v>entrada não gerada</v>
      </c>
      <c r="S18" s="7" t="str">
        <f aca="false">IF(P18="","",IF(P18=N18,"sim","não"))</f>
        <v/>
      </c>
      <c r="T18" s="10" t="s">
        <v>87</v>
      </c>
    </row>
    <row r="19" customFormat="false" ht="35.05" hidden="false" customHeight="false" outlineLevel="0" collapsed="false">
      <c r="A19" s="7" t="n">
        <v>17</v>
      </c>
      <c r="B19" s="7" t="s">
        <v>32</v>
      </c>
      <c r="C19" s="7" t="s">
        <v>42</v>
      </c>
      <c r="D19" s="7" t="s">
        <v>34</v>
      </c>
      <c r="E19" s="7" t="n">
        <v>73</v>
      </c>
      <c r="F19" s="7" t="s">
        <v>88</v>
      </c>
      <c r="G19" s="7" t="s">
        <v>89</v>
      </c>
      <c r="H19" s="7" t="s">
        <v>45</v>
      </c>
      <c r="I19" s="7" t="n">
        <v>67</v>
      </c>
      <c r="J19" s="8" t="n">
        <v>0.233</v>
      </c>
      <c r="K19" s="8" t="n">
        <v>1</v>
      </c>
      <c r="L19" s="8" t="n">
        <v>1</v>
      </c>
      <c r="M19" s="7" t="s">
        <v>38</v>
      </c>
      <c r="N19" s="7" t="s">
        <v>39</v>
      </c>
      <c r="O19" s="7" t="s">
        <v>90</v>
      </c>
      <c r="P19" s="9"/>
      <c r="Q19" s="9"/>
      <c r="R19" s="7" t="str">
        <f aca="false">IF(P19="",N19,P19)</f>
        <v>entrada não gerada</v>
      </c>
      <c r="S19" s="7" t="str">
        <f aca="false">IF(P19="","",IF(P19=N19,"sim","não"))</f>
        <v/>
      </c>
      <c r="T19" s="10" t="s">
        <v>91</v>
      </c>
    </row>
    <row r="20" customFormat="false" ht="35.05" hidden="false" customHeight="false" outlineLevel="0" collapsed="false">
      <c r="A20" s="7" t="n">
        <v>18</v>
      </c>
      <c r="B20" s="7" t="s">
        <v>32</v>
      </c>
      <c r="C20" s="7" t="s">
        <v>42</v>
      </c>
      <c r="D20" s="7" t="s">
        <v>92</v>
      </c>
      <c r="E20" s="7" t="n">
        <v>25</v>
      </c>
      <c r="F20" s="7" t="s">
        <v>93</v>
      </c>
      <c r="G20" s="7" t="s">
        <v>94</v>
      </c>
      <c r="H20" s="7" t="s">
        <v>95</v>
      </c>
      <c r="I20" s="7" t="n">
        <v>68</v>
      </c>
      <c r="J20" s="8" t="n">
        <v>0.267</v>
      </c>
      <c r="K20" s="8" t="n">
        <v>1</v>
      </c>
      <c r="L20" s="8" t="n">
        <v>1</v>
      </c>
      <c r="M20" s="7" t="s">
        <v>38</v>
      </c>
      <c r="N20" s="7" t="s">
        <v>39</v>
      </c>
      <c r="O20" s="7" t="s">
        <v>96</v>
      </c>
      <c r="P20" s="9"/>
      <c r="Q20" s="9"/>
      <c r="R20" s="7" t="str">
        <f aca="false">IF(P20="",N20,P20)</f>
        <v>entrada não gerada</v>
      </c>
      <c r="S20" s="7" t="str">
        <f aca="false">IF(P20="","",IF(P20=N20,"sim","não"))</f>
        <v/>
      </c>
      <c r="T20" s="10" t="s">
        <v>97</v>
      </c>
    </row>
    <row r="21" customFormat="false" ht="35.05" hidden="false" customHeight="false" outlineLevel="0" collapsed="false">
      <c r="A21" s="7" t="n">
        <v>19</v>
      </c>
      <c r="B21" s="7" t="s">
        <v>32</v>
      </c>
      <c r="C21" s="7" t="s">
        <v>42</v>
      </c>
      <c r="D21" s="7" t="s">
        <v>92</v>
      </c>
      <c r="E21" s="7" t="n">
        <v>26</v>
      </c>
      <c r="F21" s="7" t="s">
        <v>98</v>
      </c>
      <c r="G21" s="7" t="s">
        <v>99</v>
      </c>
      <c r="H21" s="7" t="s">
        <v>95</v>
      </c>
      <c r="I21" s="7" t="n">
        <v>71</v>
      </c>
      <c r="J21" s="8" t="n">
        <v>0.367</v>
      </c>
      <c r="K21" s="8" t="n">
        <v>1</v>
      </c>
      <c r="L21" s="8" t="n">
        <v>1</v>
      </c>
      <c r="M21" s="7" t="s">
        <v>38</v>
      </c>
      <c r="N21" s="7" t="s">
        <v>39</v>
      </c>
      <c r="O21" s="7" t="s">
        <v>50</v>
      </c>
      <c r="P21" s="9"/>
      <c r="Q21" s="9"/>
      <c r="R21" s="7" t="str">
        <f aca="false">IF(P21="",N21,P21)</f>
        <v>entrada não gerada</v>
      </c>
      <c r="S21" s="7" t="str">
        <f aca="false">IF(P21="","",IF(P21=N21,"sim","não"))</f>
        <v/>
      </c>
      <c r="T21" s="10" t="s">
        <v>100</v>
      </c>
    </row>
    <row r="22" customFormat="false" ht="35.05" hidden="false" customHeight="false" outlineLevel="0" collapsed="false">
      <c r="A22" s="7" t="n">
        <v>20</v>
      </c>
      <c r="B22" s="7" t="s">
        <v>32</v>
      </c>
      <c r="C22" s="7" t="s">
        <v>42</v>
      </c>
      <c r="D22" s="7" t="s">
        <v>92</v>
      </c>
      <c r="E22" s="7" t="n">
        <v>27</v>
      </c>
      <c r="F22" s="7" t="s">
        <v>101</v>
      </c>
      <c r="G22" s="7" t="s">
        <v>102</v>
      </c>
      <c r="H22" s="7" t="s">
        <v>95</v>
      </c>
      <c r="I22" s="7" t="n">
        <v>75</v>
      </c>
      <c r="J22" s="8" t="n">
        <v>0.5</v>
      </c>
      <c r="K22" s="8" t="n">
        <v>1</v>
      </c>
      <c r="L22" s="8" t="n">
        <v>1</v>
      </c>
      <c r="M22" s="7" t="s">
        <v>38</v>
      </c>
      <c r="N22" s="7" t="s">
        <v>39</v>
      </c>
      <c r="O22" s="7" t="s">
        <v>103</v>
      </c>
      <c r="P22" s="9"/>
      <c r="Q22" s="9"/>
      <c r="R22" s="7" t="str">
        <f aca="false">IF(P22="",N22,P22)</f>
        <v>entrada não gerada</v>
      </c>
      <c r="S22" s="7" t="str">
        <f aca="false">IF(P22="","",IF(P22=N22,"sim","não"))</f>
        <v/>
      </c>
      <c r="T22" s="10" t="s">
        <v>104</v>
      </c>
    </row>
    <row r="23" customFormat="false" ht="35.05" hidden="false" customHeight="false" outlineLevel="0" collapsed="false">
      <c r="A23" s="7" t="n">
        <v>21</v>
      </c>
      <c r="B23" s="7" t="s">
        <v>32</v>
      </c>
      <c r="C23" s="7" t="s">
        <v>42</v>
      </c>
      <c r="D23" s="7" t="s">
        <v>92</v>
      </c>
      <c r="E23" s="7" t="n">
        <v>28</v>
      </c>
      <c r="F23" s="7" t="s">
        <v>105</v>
      </c>
      <c r="G23" s="7" t="s">
        <v>106</v>
      </c>
      <c r="H23" s="7" t="s">
        <v>95</v>
      </c>
      <c r="I23" s="7" t="n">
        <v>78</v>
      </c>
      <c r="J23" s="8" t="n">
        <v>0.6</v>
      </c>
      <c r="K23" s="8" t="n">
        <v>1</v>
      </c>
      <c r="L23" s="8" t="n">
        <v>1</v>
      </c>
      <c r="M23" s="7" t="s">
        <v>38</v>
      </c>
      <c r="N23" s="7" t="s">
        <v>39</v>
      </c>
      <c r="O23" s="7" t="s">
        <v>107</v>
      </c>
      <c r="P23" s="9"/>
      <c r="Q23" s="9"/>
      <c r="R23" s="7" t="str">
        <f aca="false">IF(P23="",N23,P23)</f>
        <v>entrada não gerada</v>
      </c>
      <c r="S23" s="7" t="str">
        <f aca="false">IF(P23="","",IF(P23=N23,"sim","não"))</f>
        <v/>
      </c>
      <c r="T23" s="10" t="s">
        <v>108</v>
      </c>
    </row>
    <row r="24" customFormat="false" ht="35.05" hidden="false" customHeight="false" outlineLevel="0" collapsed="false">
      <c r="A24" s="7" t="n">
        <v>22</v>
      </c>
      <c r="B24" s="7" t="s">
        <v>32</v>
      </c>
      <c r="C24" s="7" t="s">
        <v>42</v>
      </c>
      <c r="D24" s="7" t="s">
        <v>92</v>
      </c>
      <c r="E24" s="7" t="n">
        <v>29</v>
      </c>
      <c r="F24" s="7" t="s">
        <v>109</v>
      </c>
      <c r="G24" s="7" t="s">
        <v>110</v>
      </c>
      <c r="H24" s="7" t="s">
        <v>95</v>
      </c>
      <c r="I24" s="7" t="n">
        <v>72</v>
      </c>
      <c r="J24" s="8" t="n">
        <v>0.4</v>
      </c>
      <c r="K24" s="8" t="n">
        <v>1</v>
      </c>
      <c r="L24" s="8" t="n">
        <v>1</v>
      </c>
      <c r="M24" s="7" t="s">
        <v>38</v>
      </c>
      <c r="N24" s="7" t="s">
        <v>39</v>
      </c>
      <c r="O24" s="7" t="s">
        <v>111</v>
      </c>
      <c r="P24" s="9"/>
      <c r="Q24" s="9"/>
      <c r="R24" s="7" t="str">
        <f aca="false">IF(P24="",N24,P24)</f>
        <v>entrada não gerada</v>
      </c>
      <c r="S24" s="7" t="str">
        <f aca="false">IF(P24="","",IF(P24=N24,"sim","não"))</f>
        <v/>
      </c>
      <c r="T24" s="10" t="s">
        <v>112</v>
      </c>
    </row>
    <row r="25" customFormat="false" ht="35.05" hidden="false" customHeight="false" outlineLevel="0" collapsed="false">
      <c r="A25" s="7" t="n">
        <v>23</v>
      </c>
      <c r="B25" s="7" t="s">
        <v>32</v>
      </c>
      <c r="C25" s="7" t="s">
        <v>42</v>
      </c>
      <c r="D25" s="7" t="s">
        <v>92</v>
      </c>
      <c r="E25" s="7" t="n">
        <v>30</v>
      </c>
      <c r="F25" s="7" t="s">
        <v>113</v>
      </c>
      <c r="G25" s="7" t="s">
        <v>114</v>
      </c>
      <c r="H25" s="7" t="s">
        <v>95</v>
      </c>
      <c r="I25" s="7" t="n">
        <v>80</v>
      </c>
      <c r="J25" s="8" t="n">
        <v>0.667</v>
      </c>
      <c r="K25" s="8" t="n">
        <v>1</v>
      </c>
      <c r="L25" s="8" t="n">
        <v>1</v>
      </c>
      <c r="M25" s="7" t="s">
        <v>38</v>
      </c>
      <c r="N25" s="7" t="s">
        <v>39</v>
      </c>
      <c r="O25" s="7" t="s">
        <v>115</v>
      </c>
      <c r="P25" s="9"/>
      <c r="Q25" s="9"/>
      <c r="R25" s="7" t="str">
        <f aca="false">IF(P25="",N25,P25)</f>
        <v>entrada não gerada</v>
      </c>
      <c r="S25" s="7" t="str">
        <f aca="false">IF(P25="","",IF(P25=N25,"sim","não"))</f>
        <v/>
      </c>
      <c r="T25" s="10" t="s">
        <v>116</v>
      </c>
    </row>
    <row r="26" customFormat="false" ht="35.05" hidden="false" customHeight="false" outlineLevel="0" collapsed="false">
      <c r="A26" s="7" t="n">
        <v>24</v>
      </c>
      <c r="B26" s="7" t="s">
        <v>32</v>
      </c>
      <c r="C26" s="7" t="s">
        <v>42</v>
      </c>
      <c r="D26" s="7" t="s">
        <v>117</v>
      </c>
      <c r="E26" s="7" t="n">
        <v>24</v>
      </c>
      <c r="F26" s="7" t="s">
        <v>118</v>
      </c>
      <c r="G26" s="7" t="s">
        <v>119</v>
      </c>
      <c r="H26" s="7" t="s">
        <v>120</v>
      </c>
      <c r="I26" s="7" t="n">
        <v>78</v>
      </c>
      <c r="J26" s="8" t="n">
        <v>0.6</v>
      </c>
      <c r="K26" s="8" t="n">
        <v>1</v>
      </c>
      <c r="L26" s="8" t="n">
        <v>1</v>
      </c>
      <c r="M26" s="7" t="s">
        <v>38</v>
      </c>
      <c r="N26" s="7" t="s">
        <v>39</v>
      </c>
      <c r="O26" s="7" t="s">
        <v>107</v>
      </c>
      <c r="P26" s="9"/>
      <c r="Q26" s="9"/>
      <c r="R26" s="7" t="str">
        <f aca="false">IF(P26="",N26,P26)</f>
        <v>entrada não gerada</v>
      </c>
      <c r="S26" s="7" t="str">
        <f aca="false">IF(P26="","",IF(P26=N26,"sim","não"))</f>
        <v/>
      </c>
      <c r="T26" s="10" t="s">
        <v>121</v>
      </c>
    </row>
    <row r="27" customFormat="false" ht="23.85" hidden="false" customHeight="false" outlineLevel="0" collapsed="false">
      <c r="A27" s="7" t="n">
        <v>25</v>
      </c>
      <c r="B27" s="7" t="s">
        <v>32</v>
      </c>
      <c r="C27" s="7" t="s">
        <v>42</v>
      </c>
      <c r="D27" s="7" t="s">
        <v>122</v>
      </c>
      <c r="E27" s="7" t="n">
        <v>35</v>
      </c>
      <c r="F27" s="7" t="s">
        <v>123</v>
      </c>
      <c r="G27" s="7" t="s">
        <v>36</v>
      </c>
      <c r="H27" s="7" t="s">
        <v>120</v>
      </c>
      <c r="I27" s="7" t="n">
        <v>39</v>
      </c>
      <c r="J27" s="8" t="n">
        <v>0.033</v>
      </c>
      <c r="K27" s="8" t="n">
        <v>0.333</v>
      </c>
      <c r="L27" s="8" t="n">
        <v>0.933</v>
      </c>
      <c r="M27" s="7" t="s">
        <v>38</v>
      </c>
      <c r="N27" s="7" t="s">
        <v>39</v>
      </c>
      <c r="O27" s="7" t="s">
        <v>124</v>
      </c>
      <c r="P27" s="9"/>
      <c r="Q27" s="9"/>
      <c r="R27" s="7" t="str">
        <f aca="false">IF(P27="",N27,P27)</f>
        <v>entrada não gerada</v>
      </c>
      <c r="S27" s="7" t="str">
        <f aca="false">IF(P27="","",IF(P27=N27,"sim","não"))</f>
        <v/>
      </c>
      <c r="T27" s="10" t="s">
        <v>125</v>
      </c>
    </row>
    <row r="28" customFormat="false" ht="23.85" hidden="false" customHeight="false" outlineLevel="0" collapsed="false">
      <c r="A28" s="7" t="n">
        <v>26</v>
      </c>
      <c r="B28" s="7" t="s">
        <v>32</v>
      </c>
      <c r="C28" s="7" t="s">
        <v>42</v>
      </c>
      <c r="D28" s="7" t="s">
        <v>122</v>
      </c>
      <c r="E28" s="7" t="n">
        <v>35</v>
      </c>
      <c r="F28" s="7" t="s">
        <v>123</v>
      </c>
      <c r="G28" s="7" t="s">
        <v>55</v>
      </c>
      <c r="H28" s="7" t="s">
        <v>120</v>
      </c>
      <c r="I28" s="7" t="n">
        <v>69</v>
      </c>
      <c r="J28" s="8" t="n">
        <v>0.333</v>
      </c>
      <c r="K28" s="8" t="n">
        <v>0.967</v>
      </c>
      <c r="L28" s="8" t="n">
        <v>1</v>
      </c>
      <c r="M28" s="7" t="s">
        <v>38</v>
      </c>
      <c r="N28" s="7" t="s">
        <v>39</v>
      </c>
      <c r="O28" s="7" t="s">
        <v>126</v>
      </c>
      <c r="P28" s="9"/>
      <c r="Q28" s="9"/>
      <c r="R28" s="7" t="str">
        <f aca="false">IF(P28="",N28,P28)</f>
        <v>entrada não gerada</v>
      </c>
      <c r="S28" s="7" t="str">
        <f aca="false">IF(P28="","",IF(P28=N28,"sim","não"))</f>
        <v/>
      </c>
      <c r="T28" s="10" t="s">
        <v>127</v>
      </c>
    </row>
    <row r="29" customFormat="false" ht="23.85" hidden="false" customHeight="false" outlineLevel="0" collapsed="false">
      <c r="A29" s="7" t="n">
        <v>27</v>
      </c>
      <c r="B29" s="7" t="s">
        <v>32</v>
      </c>
      <c r="C29" s="7" t="s">
        <v>42</v>
      </c>
      <c r="D29" s="7" t="s">
        <v>122</v>
      </c>
      <c r="E29" s="7" t="n">
        <v>62</v>
      </c>
      <c r="F29" s="7" t="s">
        <v>128</v>
      </c>
      <c r="G29" s="7" t="s">
        <v>36</v>
      </c>
      <c r="H29" s="7" t="s">
        <v>129</v>
      </c>
      <c r="I29" s="7" t="n">
        <v>74</v>
      </c>
      <c r="J29" s="8" t="n">
        <v>0.467</v>
      </c>
      <c r="K29" s="8" t="n">
        <v>1</v>
      </c>
      <c r="L29" s="8" t="n">
        <v>1</v>
      </c>
      <c r="M29" s="7" t="s">
        <v>38</v>
      </c>
      <c r="N29" s="7" t="s">
        <v>39</v>
      </c>
      <c r="O29" s="7" t="s">
        <v>59</v>
      </c>
      <c r="P29" s="9"/>
      <c r="Q29" s="9"/>
      <c r="R29" s="7" t="str">
        <f aca="false">IF(P29="",N29,P29)</f>
        <v>entrada não gerada</v>
      </c>
      <c r="S29" s="7" t="str">
        <f aca="false">IF(P29="","",IF(P29=N29,"sim","não"))</f>
        <v/>
      </c>
      <c r="T29" s="10" t="s">
        <v>130</v>
      </c>
    </row>
    <row r="30" customFormat="false" ht="23.85" hidden="false" customHeight="false" outlineLevel="0" collapsed="false">
      <c r="A30" s="7" t="n">
        <v>28</v>
      </c>
      <c r="B30" s="7" t="s">
        <v>32</v>
      </c>
      <c r="C30" s="7" t="s">
        <v>42</v>
      </c>
      <c r="D30" s="7" t="s">
        <v>122</v>
      </c>
      <c r="E30" s="7" t="n">
        <v>62</v>
      </c>
      <c r="F30" s="7" t="s">
        <v>128</v>
      </c>
      <c r="G30" s="7" t="s">
        <v>58</v>
      </c>
      <c r="H30" s="7" t="s">
        <v>129</v>
      </c>
      <c r="I30" s="7" t="n">
        <v>88</v>
      </c>
      <c r="J30" s="8" t="n">
        <v>0.933</v>
      </c>
      <c r="K30" s="8" t="n">
        <v>1</v>
      </c>
      <c r="L30" s="8" t="n">
        <v>1</v>
      </c>
      <c r="M30" s="7" t="s">
        <v>38</v>
      </c>
      <c r="N30" s="7" t="s">
        <v>39</v>
      </c>
      <c r="O30" s="7" t="s">
        <v>46</v>
      </c>
      <c r="P30" s="9"/>
      <c r="Q30" s="9"/>
      <c r="R30" s="7" t="str">
        <f aca="false">IF(P30="",N30,P30)</f>
        <v>entrada não gerada</v>
      </c>
      <c r="S30" s="7" t="str">
        <f aca="false">IF(P30="","",IF(P30=N30,"sim","não"))</f>
        <v/>
      </c>
      <c r="T30" s="10" t="s">
        <v>131</v>
      </c>
    </row>
    <row r="31" customFormat="false" ht="23.85" hidden="false" customHeight="false" outlineLevel="0" collapsed="false">
      <c r="A31" s="7" t="n">
        <v>29</v>
      </c>
      <c r="B31" s="7" t="s">
        <v>32</v>
      </c>
      <c r="C31" s="7" t="s">
        <v>42</v>
      </c>
      <c r="D31" s="7" t="s">
        <v>122</v>
      </c>
      <c r="E31" s="7" t="n">
        <v>67</v>
      </c>
      <c r="F31" s="7" t="s">
        <v>132</v>
      </c>
      <c r="G31" s="7" t="s">
        <v>63</v>
      </c>
      <c r="H31" s="7" t="s">
        <v>133</v>
      </c>
      <c r="I31" s="7" t="n">
        <v>87</v>
      </c>
      <c r="J31" s="8" t="n">
        <v>0.9</v>
      </c>
      <c r="K31" s="8" t="n">
        <v>1</v>
      </c>
      <c r="L31" s="8" t="n">
        <v>1</v>
      </c>
      <c r="M31" s="7" t="s">
        <v>38</v>
      </c>
      <c r="N31" s="7" t="s">
        <v>39</v>
      </c>
      <c r="O31" s="7" t="s">
        <v>134</v>
      </c>
      <c r="P31" s="9"/>
      <c r="Q31" s="9"/>
      <c r="R31" s="7" t="str">
        <f aca="false">IF(P31="",N31,P31)</f>
        <v>entrada não gerada</v>
      </c>
      <c r="S31" s="7" t="str">
        <f aca="false">IF(P31="","",IF(P31=N31,"sim","não"))</f>
        <v/>
      </c>
      <c r="T31" s="10" t="s">
        <v>135</v>
      </c>
    </row>
    <row r="32" customFormat="false" ht="23.85" hidden="false" customHeight="false" outlineLevel="0" collapsed="false">
      <c r="A32" s="7" t="n">
        <v>30</v>
      </c>
      <c r="B32" s="7" t="s">
        <v>32</v>
      </c>
      <c r="C32" s="7" t="s">
        <v>42</v>
      </c>
      <c r="D32" s="7" t="s">
        <v>122</v>
      </c>
      <c r="E32" s="7" t="n">
        <v>67</v>
      </c>
      <c r="F32" s="7" t="s">
        <v>132</v>
      </c>
      <c r="G32" s="7" t="s">
        <v>73</v>
      </c>
      <c r="H32" s="7" t="s">
        <v>133</v>
      </c>
      <c r="I32" s="7" t="n">
        <v>78</v>
      </c>
      <c r="J32" s="8" t="n">
        <v>0.6</v>
      </c>
      <c r="K32" s="8" t="n">
        <v>1</v>
      </c>
      <c r="L32" s="8" t="n">
        <v>1</v>
      </c>
      <c r="M32" s="7" t="s">
        <v>38</v>
      </c>
      <c r="N32" s="7" t="s">
        <v>39</v>
      </c>
      <c r="O32" s="7" t="s">
        <v>107</v>
      </c>
      <c r="P32" s="9"/>
      <c r="Q32" s="9"/>
      <c r="R32" s="7" t="str">
        <f aca="false">IF(P32="",N32,P32)</f>
        <v>entrada não gerada</v>
      </c>
      <c r="S32" s="7" t="str">
        <f aca="false">IF(P32="","",IF(P32=N32,"sim","não"))</f>
        <v/>
      </c>
      <c r="T32" s="10" t="s">
        <v>136</v>
      </c>
    </row>
    <row r="33" customFormat="false" ht="23.85" hidden="false" customHeight="false" outlineLevel="0" collapsed="false">
      <c r="A33" s="7" t="n">
        <v>31</v>
      </c>
      <c r="B33" s="7" t="s">
        <v>32</v>
      </c>
      <c r="C33" s="7" t="s">
        <v>42</v>
      </c>
      <c r="D33" s="7" t="s">
        <v>122</v>
      </c>
      <c r="E33" s="7" t="n">
        <v>67</v>
      </c>
      <c r="F33" s="7" t="s">
        <v>132</v>
      </c>
      <c r="G33" s="7" t="s">
        <v>49</v>
      </c>
      <c r="H33" s="7" t="s">
        <v>133</v>
      </c>
      <c r="I33" s="7" t="n">
        <v>88</v>
      </c>
      <c r="J33" s="8" t="n">
        <v>0.933</v>
      </c>
      <c r="K33" s="8" t="n">
        <v>1</v>
      </c>
      <c r="L33" s="8" t="n">
        <v>1</v>
      </c>
      <c r="M33" s="7" t="s">
        <v>38</v>
      </c>
      <c r="N33" s="7" t="s">
        <v>39</v>
      </c>
      <c r="O33" s="7" t="s">
        <v>46</v>
      </c>
      <c r="P33" s="9"/>
      <c r="Q33" s="9"/>
      <c r="R33" s="7" t="str">
        <f aca="false">IF(P33="",N33,P33)</f>
        <v>entrada não gerada</v>
      </c>
      <c r="S33" s="7" t="str">
        <f aca="false">IF(P33="","",IF(P33=N33,"sim","não"))</f>
        <v/>
      </c>
      <c r="T33" s="10" t="s">
        <v>137</v>
      </c>
    </row>
    <row r="34" customFormat="false" ht="23.85" hidden="false" customHeight="false" outlineLevel="0" collapsed="false">
      <c r="A34" s="7" t="n">
        <v>32</v>
      </c>
      <c r="B34" s="7" t="s">
        <v>32</v>
      </c>
      <c r="C34" s="7" t="s">
        <v>42</v>
      </c>
      <c r="D34" s="7" t="s">
        <v>122</v>
      </c>
      <c r="E34" s="7" t="n">
        <v>68</v>
      </c>
      <c r="F34" s="7" t="s">
        <v>138</v>
      </c>
      <c r="G34" s="7" t="s">
        <v>139</v>
      </c>
      <c r="H34" s="7" t="s">
        <v>133</v>
      </c>
      <c r="I34" s="7" t="n">
        <v>70</v>
      </c>
      <c r="J34" s="8" t="n">
        <v>0.333</v>
      </c>
      <c r="K34" s="8" t="n">
        <v>1</v>
      </c>
      <c r="L34" s="8" t="n">
        <v>1</v>
      </c>
      <c r="M34" s="7" t="s">
        <v>38</v>
      </c>
      <c r="N34" s="7" t="s">
        <v>39</v>
      </c>
      <c r="O34" s="7" t="s">
        <v>140</v>
      </c>
      <c r="P34" s="9"/>
      <c r="Q34" s="9"/>
      <c r="R34" s="7" t="str">
        <f aca="false">IF(P34="",N34,P34)</f>
        <v>entrada não gerada</v>
      </c>
      <c r="S34" s="7" t="str">
        <f aca="false">IF(P34="","",IF(P34=N34,"sim","não"))</f>
        <v/>
      </c>
      <c r="T34" s="10" t="s">
        <v>141</v>
      </c>
    </row>
    <row r="35" customFormat="false" ht="23.85" hidden="false" customHeight="false" outlineLevel="0" collapsed="false">
      <c r="A35" s="7" t="n">
        <v>33</v>
      </c>
      <c r="B35" s="7" t="s">
        <v>32</v>
      </c>
      <c r="C35" s="7" t="s">
        <v>42</v>
      </c>
      <c r="D35" s="7" t="s">
        <v>122</v>
      </c>
      <c r="E35" s="7" t="n">
        <v>71</v>
      </c>
      <c r="F35" s="7" t="s">
        <v>142</v>
      </c>
      <c r="G35" s="7" t="s">
        <v>36</v>
      </c>
      <c r="H35" s="7" t="s">
        <v>133</v>
      </c>
      <c r="I35" s="7" t="n">
        <v>60</v>
      </c>
      <c r="J35" s="8" t="n">
        <v>0.133</v>
      </c>
      <c r="K35" s="8" t="n">
        <v>0.867</v>
      </c>
      <c r="L35" s="8" t="n">
        <v>1</v>
      </c>
      <c r="M35" s="7" t="s">
        <v>38</v>
      </c>
      <c r="N35" s="7" t="s">
        <v>39</v>
      </c>
      <c r="O35" s="7" t="s">
        <v>143</v>
      </c>
      <c r="P35" s="9"/>
      <c r="Q35" s="9"/>
      <c r="R35" s="7" t="str">
        <f aca="false">IF(P35="",N35,P35)</f>
        <v>entrada não gerada</v>
      </c>
      <c r="S35" s="7" t="str">
        <f aca="false">IF(P35="","",IF(P35=N35,"sim","não"))</f>
        <v/>
      </c>
      <c r="T35" s="10" t="s">
        <v>144</v>
      </c>
    </row>
    <row r="36" customFormat="false" ht="23.85" hidden="false" customHeight="false" outlineLevel="0" collapsed="false">
      <c r="A36" s="7" t="n">
        <v>34</v>
      </c>
      <c r="B36" s="7" t="s">
        <v>32</v>
      </c>
      <c r="C36" s="7" t="s">
        <v>42</v>
      </c>
      <c r="D36" s="7" t="s">
        <v>122</v>
      </c>
      <c r="E36" s="7" t="n">
        <v>71</v>
      </c>
      <c r="F36" s="7" t="s">
        <v>142</v>
      </c>
      <c r="G36" s="7" t="s">
        <v>55</v>
      </c>
      <c r="H36" s="7" t="s">
        <v>133</v>
      </c>
      <c r="I36" s="7" t="n">
        <v>89</v>
      </c>
      <c r="J36" s="8" t="n">
        <v>0.967</v>
      </c>
      <c r="K36" s="8" t="n">
        <v>1</v>
      </c>
      <c r="L36" s="8" t="n">
        <v>1</v>
      </c>
      <c r="M36" s="7" t="s">
        <v>38</v>
      </c>
      <c r="N36" s="7" t="s">
        <v>39</v>
      </c>
      <c r="O36" s="7" t="s">
        <v>56</v>
      </c>
      <c r="P36" s="9"/>
      <c r="Q36" s="9"/>
      <c r="R36" s="7" t="str">
        <f aca="false">IF(P36="",N36,P36)</f>
        <v>entrada não gerada</v>
      </c>
      <c r="S36" s="7" t="str">
        <f aca="false">IF(P36="","",IF(P36=N36,"sim","não"))</f>
        <v/>
      </c>
      <c r="T36" s="10" t="s">
        <v>145</v>
      </c>
    </row>
    <row r="37" customFormat="false" ht="23.85" hidden="false" customHeight="false" outlineLevel="0" collapsed="false">
      <c r="A37" s="7" t="n">
        <v>35</v>
      </c>
      <c r="B37" s="7" t="s">
        <v>32</v>
      </c>
      <c r="C37" s="7" t="s">
        <v>42</v>
      </c>
      <c r="D37" s="7" t="s">
        <v>122</v>
      </c>
      <c r="E37" s="7" t="n">
        <v>81</v>
      </c>
      <c r="F37" s="7" t="s">
        <v>146</v>
      </c>
      <c r="G37" s="7" t="s">
        <v>73</v>
      </c>
      <c r="H37" s="7" t="s">
        <v>147</v>
      </c>
      <c r="I37" s="7" t="n">
        <v>79</v>
      </c>
      <c r="J37" s="8" t="n">
        <v>0.633</v>
      </c>
      <c r="K37" s="8" t="n">
        <v>1</v>
      </c>
      <c r="L37" s="8" t="n">
        <v>1</v>
      </c>
      <c r="M37" s="7" t="s">
        <v>38</v>
      </c>
      <c r="N37" s="7" t="s">
        <v>39</v>
      </c>
      <c r="O37" s="7" t="s">
        <v>148</v>
      </c>
      <c r="P37" s="9"/>
      <c r="Q37" s="9"/>
      <c r="R37" s="7" t="str">
        <f aca="false">IF(P37="",N37,P37)</f>
        <v>entrada não gerada</v>
      </c>
      <c r="S37" s="7" t="str">
        <f aca="false">IF(P37="","",IF(P37=N37,"sim","não"))</f>
        <v/>
      </c>
      <c r="T37" s="10" t="s">
        <v>149</v>
      </c>
    </row>
    <row r="38" customFormat="false" ht="35.05" hidden="false" customHeight="false" outlineLevel="0" collapsed="false">
      <c r="A38" s="7" t="n">
        <v>36</v>
      </c>
      <c r="B38" s="7" t="s">
        <v>32</v>
      </c>
      <c r="C38" s="7" t="s">
        <v>42</v>
      </c>
      <c r="D38" s="7" t="s">
        <v>122</v>
      </c>
      <c r="E38" s="7" t="n">
        <v>92</v>
      </c>
      <c r="F38" s="7" t="s">
        <v>150</v>
      </c>
      <c r="G38" s="7" t="s">
        <v>36</v>
      </c>
      <c r="H38" s="7" t="s">
        <v>95</v>
      </c>
      <c r="I38" s="7" t="n">
        <v>85</v>
      </c>
      <c r="J38" s="8" t="n">
        <v>0.833</v>
      </c>
      <c r="K38" s="8" t="n">
        <v>1</v>
      </c>
      <c r="L38" s="8" t="n">
        <v>1</v>
      </c>
      <c r="M38" s="7" t="s">
        <v>38</v>
      </c>
      <c r="N38" s="7" t="s">
        <v>39</v>
      </c>
      <c r="O38" s="7" t="s">
        <v>151</v>
      </c>
      <c r="P38" s="9"/>
      <c r="Q38" s="9"/>
      <c r="R38" s="7" t="str">
        <f aca="false">IF(P38="",N38,P38)</f>
        <v>entrada não gerada</v>
      </c>
      <c r="S38" s="7" t="str">
        <f aca="false">IF(P38="","",IF(P38=N38,"sim","não"))</f>
        <v/>
      </c>
      <c r="T38" s="10" t="s">
        <v>152</v>
      </c>
    </row>
    <row r="39" customFormat="false" ht="35.05" hidden="false" customHeight="false" outlineLevel="0" collapsed="false">
      <c r="A39" s="7" t="n">
        <v>37</v>
      </c>
      <c r="B39" s="7" t="s">
        <v>32</v>
      </c>
      <c r="C39" s="7" t="s">
        <v>42</v>
      </c>
      <c r="D39" s="7" t="s">
        <v>122</v>
      </c>
      <c r="E39" s="7" t="n">
        <v>92</v>
      </c>
      <c r="F39" s="7" t="s">
        <v>150</v>
      </c>
      <c r="G39" s="7" t="s">
        <v>36</v>
      </c>
      <c r="H39" s="7" t="s">
        <v>95</v>
      </c>
      <c r="I39" s="7" t="n">
        <v>10</v>
      </c>
      <c r="J39" s="8" t="n">
        <v>0</v>
      </c>
      <c r="K39" s="8" t="n">
        <v>0</v>
      </c>
      <c r="L39" s="8" t="n">
        <v>0.333</v>
      </c>
      <c r="M39" s="7" t="s">
        <v>38</v>
      </c>
      <c r="N39" s="7" t="s">
        <v>39</v>
      </c>
      <c r="O39" s="7" t="s">
        <v>61</v>
      </c>
      <c r="P39" s="9"/>
      <c r="Q39" s="9"/>
      <c r="R39" s="7" t="str">
        <f aca="false">IF(P39="",N39,P39)</f>
        <v>entrada não gerada</v>
      </c>
      <c r="S39" s="7" t="str">
        <f aca="false">IF(P39="","",IF(P39=N39,"sim","não"))</f>
        <v/>
      </c>
      <c r="T39" s="10" t="s">
        <v>153</v>
      </c>
    </row>
    <row r="40" customFormat="false" ht="35.05" hidden="false" customHeight="false" outlineLevel="0" collapsed="false">
      <c r="A40" s="7" t="n">
        <v>38</v>
      </c>
      <c r="B40" s="7" t="s">
        <v>32</v>
      </c>
      <c r="C40" s="7" t="s">
        <v>42</v>
      </c>
      <c r="D40" s="7" t="s">
        <v>122</v>
      </c>
      <c r="E40" s="7" t="n">
        <v>92</v>
      </c>
      <c r="F40" s="7" t="s">
        <v>150</v>
      </c>
      <c r="G40" s="7" t="s">
        <v>36</v>
      </c>
      <c r="H40" s="7" t="s">
        <v>95</v>
      </c>
      <c r="I40" s="7" t="n">
        <v>85</v>
      </c>
      <c r="J40" s="8" t="n">
        <v>0.833</v>
      </c>
      <c r="K40" s="8" t="n">
        <v>1</v>
      </c>
      <c r="L40" s="8" t="n">
        <v>1</v>
      </c>
      <c r="M40" s="7" t="s">
        <v>38</v>
      </c>
      <c r="N40" s="7" t="s">
        <v>39</v>
      </c>
      <c r="O40" s="7" t="s">
        <v>151</v>
      </c>
      <c r="P40" s="9"/>
      <c r="Q40" s="9"/>
      <c r="R40" s="7" t="str">
        <f aca="false">IF(P40="",N40,P40)</f>
        <v>entrada não gerada</v>
      </c>
      <c r="S40" s="7" t="str">
        <f aca="false">IF(P40="","",IF(P40=N40,"sim","não"))</f>
        <v/>
      </c>
      <c r="T40" s="10" t="s">
        <v>154</v>
      </c>
    </row>
    <row r="41" customFormat="false" ht="35.05" hidden="false" customHeight="false" outlineLevel="0" collapsed="false">
      <c r="A41" s="7" t="n">
        <v>39</v>
      </c>
      <c r="B41" s="7" t="s">
        <v>32</v>
      </c>
      <c r="C41" s="7" t="s">
        <v>42</v>
      </c>
      <c r="D41" s="7" t="s">
        <v>122</v>
      </c>
      <c r="E41" s="7" t="n">
        <v>92</v>
      </c>
      <c r="F41" s="7" t="s">
        <v>150</v>
      </c>
      <c r="G41" s="7" t="s">
        <v>73</v>
      </c>
      <c r="H41" s="7" t="s">
        <v>95</v>
      </c>
      <c r="I41" s="7" t="n">
        <v>27</v>
      </c>
      <c r="J41" s="8" t="n">
        <v>0.033</v>
      </c>
      <c r="K41" s="8" t="n">
        <v>0.033</v>
      </c>
      <c r="L41" s="8" t="n">
        <v>0.833</v>
      </c>
      <c r="M41" s="7" t="s">
        <v>38</v>
      </c>
      <c r="N41" s="7" t="s">
        <v>39</v>
      </c>
      <c r="O41" s="7" t="s">
        <v>155</v>
      </c>
      <c r="P41" s="9"/>
      <c r="Q41" s="9"/>
      <c r="R41" s="7" t="str">
        <f aca="false">IF(P41="",N41,P41)</f>
        <v>entrada não gerada</v>
      </c>
      <c r="S41" s="7" t="str">
        <f aca="false">IF(P41="","",IF(P41=N41,"sim","não"))</f>
        <v/>
      </c>
      <c r="T41" s="10" t="s">
        <v>156</v>
      </c>
    </row>
    <row r="42" customFormat="false" ht="35.05" hidden="false" customHeight="false" outlineLevel="0" collapsed="false">
      <c r="A42" s="7" t="n">
        <v>40</v>
      </c>
      <c r="B42" s="7" t="s">
        <v>32</v>
      </c>
      <c r="C42" s="7" t="s">
        <v>42</v>
      </c>
      <c r="D42" s="7" t="s">
        <v>122</v>
      </c>
      <c r="E42" s="7" t="n">
        <v>92</v>
      </c>
      <c r="F42" s="7" t="s">
        <v>150</v>
      </c>
      <c r="G42" s="7" t="s">
        <v>58</v>
      </c>
      <c r="H42" s="7" t="s">
        <v>95</v>
      </c>
      <c r="I42" s="7" t="n">
        <v>27</v>
      </c>
      <c r="J42" s="8" t="n">
        <v>0.033</v>
      </c>
      <c r="K42" s="8" t="n">
        <v>0.167</v>
      </c>
      <c r="L42" s="8" t="n">
        <v>0.7</v>
      </c>
      <c r="M42" s="7" t="s">
        <v>38</v>
      </c>
      <c r="N42" s="7" t="s">
        <v>39</v>
      </c>
      <c r="O42" s="7" t="s">
        <v>155</v>
      </c>
      <c r="P42" s="9"/>
      <c r="Q42" s="9"/>
      <c r="R42" s="7" t="str">
        <f aca="false">IF(P42="",N42,P42)</f>
        <v>entrada não gerada</v>
      </c>
      <c r="S42" s="7" t="str">
        <f aca="false">IF(P42="","",IF(P42=N42,"sim","não"))</f>
        <v/>
      </c>
      <c r="T42" s="10" t="s">
        <v>157</v>
      </c>
    </row>
    <row r="43" customFormat="false" ht="35.05" hidden="false" customHeight="false" outlineLevel="0" collapsed="false">
      <c r="A43" s="7" t="n">
        <v>41</v>
      </c>
      <c r="B43" s="7" t="s">
        <v>32</v>
      </c>
      <c r="C43" s="7" t="s">
        <v>42</v>
      </c>
      <c r="D43" s="7" t="s">
        <v>122</v>
      </c>
      <c r="E43" s="7" t="n">
        <v>92</v>
      </c>
      <c r="F43" s="7" t="s">
        <v>150</v>
      </c>
      <c r="G43" s="7" t="s">
        <v>58</v>
      </c>
      <c r="H43" s="7" t="s">
        <v>95</v>
      </c>
      <c r="I43" s="7" t="n">
        <v>41</v>
      </c>
      <c r="J43" s="8" t="n">
        <v>0.067</v>
      </c>
      <c r="K43" s="8" t="n">
        <v>0.3</v>
      </c>
      <c r="L43" s="8" t="n">
        <v>1</v>
      </c>
      <c r="M43" s="7" t="s">
        <v>38</v>
      </c>
      <c r="N43" s="7" t="s">
        <v>39</v>
      </c>
      <c r="O43" s="7" t="s">
        <v>158</v>
      </c>
      <c r="P43" s="9"/>
      <c r="Q43" s="9"/>
      <c r="R43" s="7" t="str">
        <f aca="false">IF(P43="",N43,P43)</f>
        <v>entrada não gerada</v>
      </c>
      <c r="S43" s="7" t="str">
        <f aca="false">IF(P43="","",IF(P43=N43,"sim","não"))</f>
        <v/>
      </c>
      <c r="T43" s="10" t="s">
        <v>159</v>
      </c>
    </row>
    <row r="44" customFormat="false" ht="35.05" hidden="false" customHeight="false" outlineLevel="0" collapsed="false">
      <c r="A44" s="7" t="n">
        <v>42</v>
      </c>
      <c r="B44" s="7" t="s">
        <v>32</v>
      </c>
      <c r="C44" s="7" t="s">
        <v>42</v>
      </c>
      <c r="D44" s="7" t="s">
        <v>122</v>
      </c>
      <c r="E44" s="7" t="n">
        <v>92</v>
      </c>
      <c r="F44" s="7" t="s">
        <v>150</v>
      </c>
      <c r="G44" s="7" t="s">
        <v>58</v>
      </c>
      <c r="H44" s="7" t="s">
        <v>95</v>
      </c>
      <c r="I44" s="7" t="n">
        <v>57</v>
      </c>
      <c r="J44" s="8" t="n">
        <v>0.167</v>
      </c>
      <c r="K44" s="8" t="n">
        <v>0.733</v>
      </c>
      <c r="L44" s="8" t="n">
        <v>1</v>
      </c>
      <c r="M44" s="7" t="s">
        <v>38</v>
      </c>
      <c r="N44" s="7" t="s">
        <v>39</v>
      </c>
      <c r="O44" s="7" t="s">
        <v>160</v>
      </c>
      <c r="P44" s="9"/>
      <c r="Q44" s="9"/>
      <c r="R44" s="7" t="str">
        <f aca="false">IF(P44="",N44,P44)</f>
        <v>entrada não gerada</v>
      </c>
      <c r="S44" s="7" t="str">
        <f aca="false">IF(P44="","",IF(P44=N44,"sim","não"))</f>
        <v/>
      </c>
      <c r="T44" s="10" t="s">
        <v>161</v>
      </c>
    </row>
    <row r="45" customFormat="false" ht="23.85" hidden="false" customHeight="false" outlineLevel="0" collapsed="false">
      <c r="A45" s="7" t="n">
        <v>43</v>
      </c>
      <c r="B45" s="7" t="s">
        <v>32</v>
      </c>
      <c r="C45" s="7" t="s">
        <v>42</v>
      </c>
      <c r="D45" s="7" t="s">
        <v>122</v>
      </c>
      <c r="E45" s="7" t="n">
        <v>93</v>
      </c>
      <c r="F45" s="7" t="s">
        <v>162</v>
      </c>
      <c r="G45" s="7" t="s">
        <v>36</v>
      </c>
      <c r="H45" s="7" t="s">
        <v>95</v>
      </c>
      <c r="I45" s="7" t="n">
        <v>23</v>
      </c>
      <c r="J45" s="8" t="n">
        <v>0.033</v>
      </c>
      <c r="K45" s="8" t="n">
        <v>0.1</v>
      </c>
      <c r="L45" s="8" t="n">
        <v>0.633</v>
      </c>
      <c r="M45" s="7" t="s">
        <v>38</v>
      </c>
      <c r="N45" s="7" t="s">
        <v>39</v>
      </c>
      <c r="O45" s="7" t="s">
        <v>163</v>
      </c>
      <c r="P45" s="9"/>
      <c r="Q45" s="9"/>
      <c r="R45" s="7" t="str">
        <f aca="false">IF(P45="",N45,P45)</f>
        <v>entrada não gerada</v>
      </c>
      <c r="S45" s="7" t="str">
        <f aca="false">IF(P45="","",IF(P45=N45,"sim","não"))</f>
        <v/>
      </c>
      <c r="T45" s="10" t="s">
        <v>164</v>
      </c>
    </row>
    <row r="46" customFormat="false" ht="23.85" hidden="false" customHeight="false" outlineLevel="0" collapsed="false">
      <c r="A46" s="7" t="n">
        <v>44</v>
      </c>
      <c r="B46" s="7" t="s">
        <v>32</v>
      </c>
      <c r="C46" s="7" t="s">
        <v>42</v>
      </c>
      <c r="D46" s="7" t="s">
        <v>122</v>
      </c>
      <c r="E46" s="7" t="n">
        <v>93</v>
      </c>
      <c r="F46" s="7" t="s">
        <v>162</v>
      </c>
      <c r="G46" s="7" t="s">
        <v>73</v>
      </c>
      <c r="H46" s="7" t="s">
        <v>95</v>
      </c>
      <c r="I46" s="7" t="n">
        <v>56</v>
      </c>
      <c r="J46" s="8" t="n">
        <v>0.133</v>
      </c>
      <c r="K46" s="8" t="n">
        <v>0.733</v>
      </c>
      <c r="L46" s="8" t="n">
        <v>1</v>
      </c>
      <c r="M46" s="7" t="s">
        <v>38</v>
      </c>
      <c r="N46" s="7" t="s">
        <v>39</v>
      </c>
      <c r="O46" s="7" t="s">
        <v>165</v>
      </c>
      <c r="P46" s="9"/>
      <c r="Q46" s="9"/>
      <c r="R46" s="7" t="str">
        <f aca="false">IF(P46="",N46,P46)</f>
        <v>entrada não gerada</v>
      </c>
      <c r="S46" s="7" t="str">
        <f aca="false">IF(P46="","",IF(P46=N46,"sim","não"))</f>
        <v/>
      </c>
      <c r="T46" s="10" t="s">
        <v>166</v>
      </c>
    </row>
    <row r="47" customFormat="false" ht="23.85" hidden="false" customHeight="false" outlineLevel="0" collapsed="false">
      <c r="A47" s="7" t="n">
        <v>45</v>
      </c>
      <c r="B47" s="7" t="s">
        <v>32</v>
      </c>
      <c r="C47" s="7" t="s">
        <v>42</v>
      </c>
      <c r="D47" s="7" t="s">
        <v>122</v>
      </c>
      <c r="E47" s="7" t="n">
        <v>93</v>
      </c>
      <c r="F47" s="7" t="s">
        <v>162</v>
      </c>
      <c r="G47" s="7" t="s">
        <v>58</v>
      </c>
      <c r="H47" s="7" t="s">
        <v>95</v>
      </c>
      <c r="I47" s="7" t="n">
        <v>55</v>
      </c>
      <c r="J47" s="8" t="n">
        <v>0.1</v>
      </c>
      <c r="K47" s="8" t="n">
        <v>0.733</v>
      </c>
      <c r="L47" s="8" t="n">
        <v>1</v>
      </c>
      <c r="M47" s="7" t="s">
        <v>38</v>
      </c>
      <c r="N47" s="7" t="s">
        <v>39</v>
      </c>
      <c r="O47" s="7" t="s">
        <v>167</v>
      </c>
      <c r="P47" s="9"/>
      <c r="Q47" s="9"/>
      <c r="R47" s="7" t="str">
        <f aca="false">IF(P47="",N47,P47)</f>
        <v>entrada não gerada</v>
      </c>
      <c r="S47" s="7" t="str">
        <f aca="false">IF(P47="","",IF(P47=N47,"sim","não"))</f>
        <v/>
      </c>
      <c r="T47" s="10" t="s">
        <v>168</v>
      </c>
    </row>
    <row r="48" customFormat="false" ht="23.85" hidden="false" customHeight="false" outlineLevel="0" collapsed="false">
      <c r="A48" s="7" t="n">
        <v>46</v>
      </c>
      <c r="B48" s="7" t="s">
        <v>32</v>
      </c>
      <c r="C48" s="7" t="s">
        <v>42</v>
      </c>
      <c r="D48" s="7" t="s">
        <v>122</v>
      </c>
      <c r="E48" s="7" t="n">
        <v>94</v>
      </c>
      <c r="F48" s="7" t="s">
        <v>169</v>
      </c>
      <c r="G48" s="7" t="s">
        <v>73</v>
      </c>
      <c r="H48" s="7" t="s">
        <v>95</v>
      </c>
      <c r="I48" s="7" t="n">
        <v>52</v>
      </c>
      <c r="J48" s="8" t="n">
        <v>0.033</v>
      </c>
      <c r="K48" s="8" t="n">
        <v>0.7</v>
      </c>
      <c r="L48" s="8" t="n">
        <v>1</v>
      </c>
      <c r="M48" s="7" t="s">
        <v>38</v>
      </c>
      <c r="N48" s="7" t="s">
        <v>39</v>
      </c>
      <c r="O48" s="7" t="s">
        <v>170</v>
      </c>
      <c r="P48" s="9"/>
      <c r="Q48" s="9"/>
      <c r="R48" s="7" t="str">
        <f aca="false">IF(P48="",N48,P48)</f>
        <v>entrada não gerada</v>
      </c>
      <c r="S48" s="7" t="str">
        <f aca="false">IF(P48="","",IF(P48=N48,"sim","não"))</f>
        <v/>
      </c>
      <c r="T48" s="10" t="s">
        <v>171</v>
      </c>
    </row>
    <row r="49" customFormat="false" ht="23.85" hidden="false" customHeight="false" outlineLevel="0" collapsed="false">
      <c r="A49" s="7" t="n">
        <v>47</v>
      </c>
      <c r="B49" s="7" t="s">
        <v>32</v>
      </c>
      <c r="C49" s="7" t="s">
        <v>42</v>
      </c>
      <c r="D49" s="7" t="s">
        <v>122</v>
      </c>
      <c r="E49" s="7" t="n">
        <v>94</v>
      </c>
      <c r="F49" s="7" t="s">
        <v>169</v>
      </c>
      <c r="G49" s="7" t="s">
        <v>49</v>
      </c>
      <c r="H49" s="7" t="s">
        <v>95</v>
      </c>
      <c r="I49" s="7" t="n">
        <v>84</v>
      </c>
      <c r="J49" s="8" t="n">
        <v>0.8</v>
      </c>
      <c r="K49" s="8" t="n">
        <v>1</v>
      </c>
      <c r="L49" s="8" t="n">
        <v>1</v>
      </c>
      <c r="M49" s="7" t="s">
        <v>38</v>
      </c>
      <c r="N49" s="7" t="s">
        <v>39</v>
      </c>
      <c r="O49" s="7" t="s">
        <v>172</v>
      </c>
      <c r="P49" s="9"/>
      <c r="Q49" s="9"/>
      <c r="R49" s="7" t="str">
        <f aca="false">IF(P49="",N49,P49)</f>
        <v>entrada não gerada</v>
      </c>
      <c r="S49" s="7" t="str">
        <f aca="false">IF(P49="","",IF(P49=N49,"sim","não"))</f>
        <v/>
      </c>
      <c r="T49" s="10" t="s">
        <v>173</v>
      </c>
    </row>
    <row r="50" customFormat="false" ht="23.85" hidden="false" customHeight="false" outlineLevel="0" collapsed="false">
      <c r="A50" s="7" t="n">
        <v>48</v>
      </c>
      <c r="B50" s="7" t="s">
        <v>32</v>
      </c>
      <c r="C50" s="7" t="s">
        <v>42</v>
      </c>
      <c r="D50" s="7" t="s">
        <v>122</v>
      </c>
      <c r="E50" s="7" t="n">
        <v>94</v>
      </c>
      <c r="F50" s="7" t="s">
        <v>169</v>
      </c>
      <c r="G50" s="7" t="s">
        <v>49</v>
      </c>
      <c r="H50" s="7" t="s">
        <v>95</v>
      </c>
      <c r="I50" s="7" t="n">
        <v>55</v>
      </c>
      <c r="J50" s="8" t="n">
        <v>0.1</v>
      </c>
      <c r="K50" s="8" t="n">
        <v>0.733</v>
      </c>
      <c r="L50" s="8" t="n">
        <v>1</v>
      </c>
      <c r="M50" s="7" t="s">
        <v>38</v>
      </c>
      <c r="N50" s="7" t="s">
        <v>39</v>
      </c>
      <c r="O50" s="7" t="s">
        <v>167</v>
      </c>
      <c r="P50" s="9"/>
      <c r="Q50" s="9"/>
      <c r="R50" s="7" t="str">
        <f aca="false">IF(P50="",N50,P50)</f>
        <v>entrada não gerada</v>
      </c>
      <c r="S50" s="7" t="str">
        <f aca="false">IF(P50="","",IF(P50=N50,"sim","não"))</f>
        <v/>
      </c>
      <c r="T50" s="10" t="s">
        <v>174</v>
      </c>
    </row>
    <row r="51" customFormat="false" ht="23.85" hidden="false" customHeight="false" outlineLevel="0" collapsed="false">
      <c r="A51" s="7" t="n">
        <v>49</v>
      </c>
      <c r="B51" s="7" t="s">
        <v>32</v>
      </c>
      <c r="C51" s="7" t="s">
        <v>42</v>
      </c>
      <c r="D51" s="7" t="s">
        <v>122</v>
      </c>
      <c r="E51" s="7" t="n">
        <v>94</v>
      </c>
      <c r="F51" s="7" t="s">
        <v>169</v>
      </c>
      <c r="G51" s="7" t="s">
        <v>58</v>
      </c>
      <c r="H51" s="7" t="s">
        <v>95</v>
      </c>
      <c r="I51" s="7" t="n">
        <v>55</v>
      </c>
      <c r="J51" s="8" t="n">
        <v>0.1</v>
      </c>
      <c r="K51" s="8" t="n">
        <v>0.733</v>
      </c>
      <c r="L51" s="8" t="n">
        <v>1</v>
      </c>
      <c r="M51" s="7" t="s">
        <v>38</v>
      </c>
      <c r="N51" s="7" t="s">
        <v>39</v>
      </c>
      <c r="O51" s="7" t="s">
        <v>167</v>
      </c>
      <c r="P51" s="9"/>
      <c r="Q51" s="9"/>
      <c r="R51" s="7" t="str">
        <f aca="false">IF(P51="",N51,P51)</f>
        <v>entrada não gerada</v>
      </c>
      <c r="S51" s="7" t="str">
        <f aca="false">IF(P51="","",IF(P51=N51,"sim","não"))</f>
        <v/>
      </c>
      <c r="T51" s="10" t="s">
        <v>175</v>
      </c>
    </row>
    <row r="52" customFormat="false" ht="35.05" hidden="false" customHeight="false" outlineLevel="0" collapsed="false">
      <c r="A52" s="7" t="n">
        <v>50</v>
      </c>
      <c r="B52" s="7" t="s">
        <v>32</v>
      </c>
      <c r="C52" s="7" t="s">
        <v>42</v>
      </c>
      <c r="D52" s="7" t="s">
        <v>122</v>
      </c>
      <c r="E52" s="7" t="n">
        <v>99</v>
      </c>
      <c r="F52" s="7" t="s">
        <v>176</v>
      </c>
      <c r="G52" s="7" t="s">
        <v>177</v>
      </c>
      <c r="H52" s="7" t="s">
        <v>95</v>
      </c>
      <c r="I52" s="7" t="n">
        <v>66</v>
      </c>
      <c r="J52" s="8" t="n">
        <v>0.2</v>
      </c>
      <c r="K52" s="8" t="n">
        <v>1</v>
      </c>
      <c r="L52" s="8" t="n">
        <v>1</v>
      </c>
      <c r="M52" s="7" t="s">
        <v>38</v>
      </c>
      <c r="N52" s="7" t="s">
        <v>39</v>
      </c>
      <c r="O52" s="7" t="s">
        <v>178</v>
      </c>
      <c r="P52" s="9"/>
      <c r="Q52" s="9"/>
      <c r="R52" s="7" t="str">
        <f aca="false">IF(P52="",N52,P52)</f>
        <v>entrada não gerada</v>
      </c>
      <c r="S52" s="7" t="str">
        <f aca="false">IF(P52="","",IF(P52=N52,"sim","não"))</f>
        <v/>
      </c>
      <c r="T52" s="10" t="s">
        <v>179</v>
      </c>
    </row>
    <row r="53" customFormat="false" ht="35.05" hidden="false" customHeight="false" outlineLevel="0" collapsed="false">
      <c r="A53" s="7" t="n">
        <v>51</v>
      </c>
      <c r="B53" s="7" t="s">
        <v>32</v>
      </c>
      <c r="C53" s="7" t="s">
        <v>42</v>
      </c>
      <c r="D53" s="7" t="s">
        <v>122</v>
      </c>
      <c r="E53" s="7" t="n">
        <v>107</v>
      </c>
      <c r="F53" s="7" t="s">
        <v>180</v>
      </c>
      <c r="G53" s="7" t="s">
        <v>181</v>
      </c>
      <c r="H53" s="7" t="s">
        <v>182</v>
      </c>
      <c r="I53" s="7" t="n">
        <v>88</v>
      </c>
      <c r="J53" s="8" t="n">
        <v>0.933</v>
      </c>
      <c r="K53" s="8" t="n">
        <v>1</v>
      </c>
      <c r="L53" s="8" t="n">
        <v>1</v>
      </c>
      <c r="M53" s="7" t="s">
        <v>38</v>
      </c>
      <c r="N53" s="7" t="s">
        <v>39</v>
      </c>
      <c r="O53" s="7" t="s">
        <v>46</v>
      </c>
      <c r="P53" s="9"/>
      <c r="Q53" s="9"/>
      <c r="R53" s="7" t="str">
        <f aca="false">IF(P53="",N53,P53)</f>
        <v>entrada não gerada</v>
      </c>
      <c r="S53" s="7" t="str">
        <f aca="false">IF(P53="","",IF(P53=N53,"sim","não"))</f>
        <v/>
      </c>
      <c r="T53" s="10" t="s">
        <v>183</v>
      </c>
    </row>
    <row r="54" customFormat="false" ht="35.05" hidden="false" customHeight="false" outlineLevel="0" collapsed="false">
      <c r="A54" s="7" t="n">
        <v>52</v>
      </c>
      <c r="B54" s="7" t="s">
        <v>32</v>
      </c>
      <c r="C54" s="7" t="s">
        <v>42</v>
      </c>
      <c r="D54" s="7" t="s">
        <v>122</v>
      </c>
      <c r="E54" s="7" t="n">
        <v>125</v>
      </c>
      <c r="F54" s="7" t="s">
        <v>184</v>
      </c>
      <c r="G54" s="7" t="s">
        <v>181</v>
      </c>
      <c r="H54" s="7" t="s">
        <v>185</v>
      </c>
      <c r="I54" s="7" t="n">
        <v>85</v>
      </c>
      <c r="J54" s="8" t="n">
        <v>0.833</v>
      </c>
      <c r="K54" s="8" t="n">
        <v>1</v>
      </c>
      <c r="L54" s="8" t="n">
        <v>1</v>
      </c>
      <c r="M54" s="7" t="s">
        <v>38</v>
      </c>
      <c r="N54" s="7" t="s">
        <v>39</v>
      </c>
      <c r="O54" s="7" t="s">
        <v>151</v>
      </c>
      <c r="P54" s="9"/>
      <c r="Q54" s="9"/>
      <c r="R54" s="7" t="str">
        <f aca="false">IF(P54="",N54,P54)</f>
        <v>entrada não gerada</v>
      </c>
      <c r="S54" s="7" t="str">
        <f aca="false">IF(P54="","",IF(P54=N54,"sim","não"))</f>
        <v/>
      </c>
      <c r="T54" s="10" t="s">
        <v>186</v>
      </c>
    </row>
    <row r="55" customFormat="false" ht="23.85" hidden="false" customHeight="false" outlineLevel="0" collapsed="false">
      <c r="A55" s="7" t="n">
        <v>53</v>
      </c>
      <c r="B55" s="7" t="s">
        <v>32</v>
      </c>
      <c r="C55" s="7" t="s">
        <v>42</v>
      </c>
      <c r="D55" s="7" t="s">
        <v>122</v>
      </c>
      <c r="E55" s="7" t="n">
        <v>126</v>
      </c>
      <c r="F55" s="7" t="s">
        <v>187</v>
      </c>
      <c r="G55" s="7" t="s">
        <v>36</v>
      </c>
      <c r="H55" s="7" t="s">
        <v>185</v>
      </c>
      <c r="I55" s="7" t="n">
        <v>62</v>
      </c>
      <c r="J55" s="8" t="n">
        <v>0.2</v>
      </c>
      <c r="K55" s="8" t="n">
        <v>0.867</v>
      </c>
      <c r="L55" s="8" t="n">
        <v>1</v>
      </c>
      <c r="M55" s="7" t="s">
        <v>38</v>
      </c>
      <c r="N55" s="7" t="s">
        <v>39</v>
      </c>
      <c r="O55" s="7" t="s">
        <v>188</v>
      </c>
      <c r="P55" s="9"/>
      <c r="Q55" s="9"/>
      <c r="R55" s="7" t="str">
        <f aca="false">IF(P55="",N55,P55)</f>
        <v>entrada não gerada</v>
      </c>
      <c r="S55" s="7" t="str">
        <f aca="false">IF(P55="","",IF(P55=N55,"sim","não"))</f>
        <v/>
      </c>
      <c r="T55" s="10" t="s">
        <v>189</v>
      </c>
    </row>
    <row r="56" customFormat="false" ht="23.85" hidden="false" customHeight="false" outlineLevel="0" collapsed="false">
      <c r="A56" s="7" t="n">
        <v>54</v>
      </c>
      <c r="B56" s="7" t="s">
        <v>32</v>
      </c>
      <c r="C56" s="7" t="s">
        <v>42</v>
      </c>
      <c r="D56" s="7" t="s">
        <v>122</v>
      </c>
      <c r="E56" s="7" t="n">
        <v>126</v>
      </c>
      <c r="F56" s="7" t="s">
        <v>187</v>
      </c>
      <c r="G56" s="7" t="s">
        <v>55</v>
      </c>
      <c r="H56" s="7" t="s">
        <v>185</v>
      </c>
      <c r="I56" s="7" t="n">
        <v>87</v>
      </c>
      <c r="J56" s="8" t="n">
        <v>0.9</v>
      </c>
      <c r="K56" s="8" t="n">
        <v>1</v>
      </c>
      <c r="L56" s="8" t="n">
        <v>1</v>
      </c>
      <c r="M56" s="7" t="s">
        <v>38</v>
      </c>
      <c r="N56" s="7" t="s">
        <v>39</v>
      </c>
      <c r="O56" s="7" t="s">
        <v>134</v>
      </c>
      <c r="P56" s="9"/>
      <c r="Q56" s="9"/>
      <c r="R56" s="7" t="str">
        <f aca="false">IF(P56="",N56,P56)</f>
        <v>entrada não gerada</v>
      </c>
      <c r="S56" s="7" t="str">
        <f aca="false">IF(P56="","",IF(P56=N56,"sim","não"))</f>
        <v/>
      </c>
      <c r="T56" s="10" t="s">
        <v>190</v>
      </c>
    </row>
    <row r="57" customFormat="false" ht="23.85" hidden="false" customHeight="false" outlineLevel="0" collapsed="false">
      <c r="A57" s="7" t="n">
        <v>55</v>
      </c>
      <c r="B57" s="7" t="s">
        <v>32</v>
      </c>
      <c r="C57" s="7" t="s">
        <v>42</v>
      </c>
      <c r="D57" s="7" t="s">
        <v>122</v>
      </c>
      <c r="E57" s="7" t="n">
        <v>130</v>
      </c>
      <c r="F57" s="7" t="s">
        <v>191</v>
      </c>
      <c r="G57" s="7" t="s">
        <v>73</v>
      </c>
      <c r="H57" s="7" t="s">
        <v>185</v>
      </c>
      <c r="I57" s="7" t="n">
        <v>75</v>
      </c>
      <c r="J57" s="8" t="n">
        <v>0.5</v>
      </c>
      <c r="K57" s="8" t="n">
        <v>1</v>
      </c>
      <c r="L57" s="8" t="n">
        <v>1</v>
      </c>
      <c r="M57" s="7" t="s">
        <v>38</v>
      </c>
      <c r="N57" s="7" t="s">
        <v>39</v>
      </c>
      <c r="O57" s="7" t="s">
        <v>103</v>
      </c>
      <c r="P57" s="9"/>
      <c r="Q57" s="9"/>
      <c r="R57" s="7" t="str">
        <f aca="false">IF(P57="",N57,P57)</f>
        <v>entrada não gerada</v>
      </c>
      <c r="S57" s="7" t="str">
        <f aca="false">IF(P57="","",IF(P57=N57,"sim","não"))</f>
        <v/>
      </c>
      <c r="T57" s="10" t="s">
        <v>192</v>
      </c>
    </row>
    <row r="58" customFormat="false" ht="23.85" hidden="false" customHeight="false" outlineLevel="0" collapsed="false">
      <c r="A58" s="7" t="n">
        <v>56</v>
      </c>
      <c r="B58" s="7" t="s">
        <v>32</v>
      </c>
      <c r="C58" s="7" t="s">
        <v>42</v>
      </c>
      <c r="D58" s="7" t="s">
        <v>122</v>
      </c>
      <c r="E58" s="7" t="n">
        <v>152</v>
      </c>
      <c r="F58" s="7" t="s">
        <v>193</v>
      </c>
      <c r="G58" s="7" t="s">
        <v>63</v>
      </c>
      <c r="H58" s="7" t="s">
        <v>37</v>
      </c>
      <c r="I58" s="7" t="n">
        <v>77</v>
      </c>
      <c r="J58" s="8" t="n">
        <v>0.567</v>
      </c>
      <c r="K58" s="8" t="n">
        <v>1</v>
      </c>
      <c r="L58" s="8" t="n">
        <v>1</v>
      </c>
      <c r="M58" s="7" t="s">
        <v>38</v>
      </c>
      <c r="N58" s="7" t="s">
        <v>39</v>
      </c>
      <c r="O58" s="7" t="s">
        <v>194</v>
      </c>
      <c r="P58" s="9"/>
      <c r="Q58" s="9"/>
      <c r="R58" s="7" t="str">
        <f aca="false">IF(P58="",N58,P58)</f>
        <v>entrada não gerada</v>
      </c>
      <c r="S58" s="7" t="str">
        <f aca="false">IF(P58="","",IF(P58=N58,"sim","não"))</f>
        <v/>
      </c>
      <c r="T58" s="10" t="s">
        <v>195</v>
      </c>
    </row>
    <row r="59" customFormat="false" ht="23.85" hidden="false" customHeight="false" outlineLevel="0" collapsed="false">
      <c r="A59" s="7" t="n">
        <v>57</v>
      </c>
      <c r="B59" s="7" t="s">
        <v>32</v>
      </c>
      <c r="C59" s="7" t="s">
        <v>42</v>
      </c>
      <c r="D59" s="7" t="s">
        <v>122</v>
      </c>
      <c r="E59" s="7" t="n">
        <v>152</v>
      </c>
      <c r="F59" s="7" t="s">
        <v>193</v>
      </c>
      <c r="G59" s="7" t="s">
        <v>49</v>
      </c>
      <c r="H59" s="7" t="s">
        <v>37</v>
      </c>
      <c r="I59" s="7" t="n">
        <v>74</v>
      </c>
      <c r="J59" s="8" t="n">
        <v>0.467</v>
      </c>
      <c r="K59" s="8" t="n">
        <v>1</v>
      </c>
      <c r="L59" s="8" t="n">
        <v>1</v>
      </c>
      <c r="M59" s="7" t="s">
        <v>38</v>
      </c>
      <c r="N59" s="7" t="s">
        <v>39</v>
      </c>
      <c r="O59" s="7" t="s">
        <v>59</v>
      </c>
      <c r="P59" s="9"/>
      <c r="Q59" s="9"/>
      <c r="R59" s="7" t="str">
        <f aca="false">IF(P59="",N59,P59)</f>
        <v>entrada não gerada</v>
      </c>
      <c r="S59" s="7" t="str">
        <f aca="false">IF(P59="","",IF(P59=N59,"sim","não"))</f>
        <v/>
      </c>
      <c r="T59" s="10" t="s">
        <v>196</v>
      </c>
    </row>
    <row r="60" customFormat="false" ht="23.85" hidden="false" customHeight="false" outlineLevel="0" collapsed="false">
      <c r="A60" s="7" t="n">
        <v>58</v>
      </c>
      <c r="B60" s="7" t="s">
        <v>32</v>
      </c>
      <c r="C60" s="7" t="s">
        <v>42</v>
      </c>
      <c r="D60" s="7" t="s">
        <v>122</v>
      </c>
      <c r="E60" s="7" t="n">
        <v>160</v>
      </c>
      <c r="F60" s="7" t="s">
        <v>197</v>
      </c>
      <c r="G60" s="7" t="s">
        <v>73</v>
      </c>
      <c r="H60" s="7" t="s">
        <v>198</v>
      </c>
      <c r="I60" s="7" t="n">
        <v>77</v>
      </c>
      <c r="J60" s="8" t="n">
        <v>0.567</v>
      </c>
      <c r="K60" s="8" t="n">
        <v>1</v>
      </c>
      <c r="L60" s="8" t="n">
        <v>1</v>
      </c>
      <c r="M60" s="7" t="s">
        <v>38</v>
      </c>
      <c r="N60" s="7" t="s">
        <v>39</v>
      </c>
      <c r="O60" s="7" t="s">
        <v>194</v>
      </c>
      <c r="P60" s="9"/>
      <c r="Q60" s="9"/>
      <c r="R60" s="7" t="str">
        <f aca="false">IF(P60="",N60,P60)</f>
        <v>entrada não gerada</v>
      </c>
      <c r="S60" s="7" t="str">
        <f aca="false">IF(P60="","",IF(P60=N60,"sim","não"))</f>
        <v/>
      </c>
      <c r="T60" s="10" t="s">
        <v>199</v>
      </c>
    </row>
    <row r="61" customFormat="false" ht="35.05" hidden="false" customHeight="false" outlineLevel="0" collapsed="false">
      <c r="A61" s="7" t="n">
        <v>59</v>
      </c>
      <c r="B61" s="7" t="s">
        <v>32</v>
      </c>
      <c r="C61" s="7" t="s">
        <v>42</v>
      </c>
      <c r="D61" s="7" t="s">
        <v>122</v>
      </c>
      <c r="E61" s="7" t="n">
        <v>163</v>
      </c>
      <c r="F61" s="7" t="s">
        <v>184</v>
      </c>
      <c r="G61" s="7" t="s">
        <v>181</v>
      </c>
      <c r="H61" s="7" t="s">
        <v>200</v>
      </c>
      <c r="I61" s="7" t="n">
        <v>78</v>
      </c>
      <c r="J61" s="8" t="n">
        <v>0.6</v>
      </c>
      <c r="K61" s="8" t="n">
        <v>1</v>
      </c>
      <c r="L61" s="8" t="n">
        <v>1</v>
      </c>
      <c r="M61" s="7" t="s">
        <v>38</v>
      </c>
      <c r="N61" s="7" t="s">
        <v>39</v>
      </c>
      <c r="O61" s="7" t="s">
        <v>107</v>
      </c>
      <c r="P61" s="9"/>
      <c r="Q61" s="9"/>
      <c r="R61" s="7" t="str">
        <f aca="false">IF(P61="",N61,P61)</f>
        <v>entrada não gerada</v>
      </c>
      <c r="S61" s="7" t="str">
        <f aca="false">IF(P61="","",IF(P61=N61,"sim","não"))</f>
        <v/>
      </c>
      <c r="T61" s="10" t="s">
        <v>201</v>
      </c>
    </row>
    <row r="62" customFormat="false" ht="35.05" hidden="false" customHeight="false" outlineLevel="0" collapsed="false">
      <c r="A62" s="7" t="n">
        <v>60</v>
      </c>
      <c r="B62" s="7" t="s">
        <v>32</v>
      </c>
      <c r="C62" s="7" t="s">
        <v>42</v>
      </c>
      <c r="D62" s="7" t="s">
        <v>122</v>
      </c>
      <c r="E62" s="7" t="n">
        <v>166</v>
      </c>
      <c r="F62" s="7" t="s">
        <v>202</v>
      </c>
      <c r="G62" s="7" t="s">
        <v>36</v>
      </c>
      <c r="H62" s="7" t="s">
        <v>200</v>
      </c>
      <c r="I62" s="7" t="n">
        <v>89</v>
      </c>
      <c r="J62" s="8" t="n">
        <v>0.967</v>
      </c>
      <c r="K62" s="8" t="n">
        <v>1</v>
      </c>
      <c r="L62" s="8" t="n">
        <v>1</v>
      </c>
      <c r="M62" s="7" t="s">
        <v>38</v>
      </c>
      <c r="N62" s="7" t="s">
        <v>39</v>
      </c>
      <c r="O62" s="7" t="s">
        <v>56</v>
      </c>
      <c r="P62" s="9"/>
      <c r="Q62" s="9"/>
      <c r="R62" s="7" t="str">
        <f aca="false">IF(P62="",N62,P62)</f>
        <v>entrada não gerada</v>
      </c>
      <c r="S62" s="7" t="str">
        <f aca="false">IF(P62="","",IF(P62=N62,"sim","não"))</f>
        <v/>
      </c>
      <c r="T62" s="10" t="s">
        <v>203</v>
      </c>
    </row>
    <row r="63" customFormat="false" ht="35.05" hidden="false" customHeight="false" outlineLevel="0" collapsed="false">
      <c r="A63" s="7" t="n">
        <v>61</v>
      </c>
      <c r="B63" s="7" t="s">
        <v>32</v>
      </c>
      <c r="C63" s="7" t="s">
        <v>42</v>
      </c>
      <c r="D63" s="7" t="s">
        <v>122</v>
      </c>
      <c r="E63" s="7" t="n">
        <v>181</v>
      </c>
      <c r="F63" s="7" t="s">
        <v>204</v>
      </c>
      <c r="G63" s="7" t="s">
        <v>205</v>
      </c>
      <c r="H63" s="7" t="s">
        <v>206</v>
      </c>
      <c r="I63" s="7" t="n">
        <v>83</v>
      </c>
      <c r="J63" s="8" t="n">
        <v>0.767</v>
      </c>
      <c r="K63" s="8" t="n">
        <v>1</v>
      </c>
      <c r="L63" s="8" t="n">
        <v>1</v>
      </c>
      <c r="M63" s="7" t="s">
        <v>38</v>
      </c>
      <c r="N63" s="7" t="s">
        <v>39</v>
      </c>
      <c r="O63" s="7" t="s">
        <v>207</v>
      </c>
      <c r="P63" s="9"/>
      <c r="Q63" s="9"/>
      <c r="R63" s="7" t="str">
        <f aca="false">IF(P63="",N63,P63)</f>
        <v>entrada não gerada</v>
      </c>
      <c r="S63" s="7" t="str">
        <f aca="false">IF(P63="","",IF(P63=N63,"sim","não"))</f>
        <v/>
      </c>
      <c r="T63" s="10" t="s">
        <v>208</v>
      </c>
    </row>
    <row r="64" customFormat="false" ht="35.05" hidden="false" customHeight="false" outlineLevel="0" collapsed="false">
      <c r="A64" s="7" t="n">
        <v>62</v>
      </c>
      <c r="B64" s="7" t="s">
        <v>32</v>
      </c>
      <c r="C64" s="7" t="s">
        <v>42</v>
      </c>
      <c r="D64" s="7" t="s">
        <v>122</v>
      </c>
      <c r="E64" s="7" t="n">
        <v>27</v>
      </c>
      <c r="F64" s="7" t="s">
        <v>209</v>
      </c>
      <c r="G64" s="7" t="s">
        <v>139</v>
      </c>
      <c r="H64" s="7" t="s">
        <v>210</v>
      </c>
      <c r="I64" s="7" t="n">
        <v>0</v>
      </c>
      <c r="J64" s="8" t="n">
        <v>0</v>
      </c>
      <c r="K64" s="8" t="n">
        <v>0</v>
      </c>
      <c r="L64" s="8" t="n">
        <v>0</v>
      </c>
      <c r="M64" s="7" t="s">
        <v>211</v>
      </c>
      <c r="N64" s="7" t="s">
        <v>212</v>
      </c>
      <c r="O64" s="7" t="s">
        <v>213</v>
      </c>
      <c r="P64" s="9"/>
      <c r="Q64" s="9"/>
      <c r="R64" s="7" t="str">
        <f aca="false">IF(P64="",N64,P64)</f>
        <v>equivalente</v>
      </c>
      <c r="S64" s="7" t="str">
        <f aca="false">IF(P64="","",IF(P64=N64,"sim","não"))</f>
        <v/>
      </c>
      <c r="T64" s="10" t="s">
        <v>214</v>
      </c>
    </row>
    <row r="65" customFormat="false" ht="35.05" hidden="false" customHeight="false" outlineLevel="0" collapsed="false">
      <c r="A65" s="7" t="n">
        <v>63</v>
      </c>
      <c r="B65" s="7" t="s">
        <v>32</v>
      </c>
      <c r="C65" s="7" t="s">
        <v>42</v>
      </c>
      <c r="D65" s="7" t="s">
        <v>122</v>
      </c>
      <c r="E65" s="7" t="n">
        <v>152</v>
      </c>
      <c r="F65" s="7" t="s">
        <v>193</v>
      </c>
      <c r="G65" s="7" t="s">
        <v>73</v>
      </c>
      <c r="H65" s="7" t="s">
        <v>37</v>
      </c>
      <c r="I65" s="7" t="n">
        <v>0</v>
      </c>
      <c r="J65" s="8" t="n">
        <v>0</v>
      </c>
      <c r="K65" s="8" t="n">
        <v>0</v>
      </c>
      <c r="L65" s="8" t="n">
        <v>0</v>
      </c>
      <c r="M65" s="7" t="s">
        <v>211</v>
      </c>
      <c r="N65" s="7" t="s">
        <v>212</v>
      </c>
      <c r="O65" s="7" t="s">
        <v>215</v>
      </c>
      <c r="P65" s="9"/>
      <c r="Q65" s="9"/>
      <c r="R65" s="7" t="str">
        <f aca="false">IF(P65="",N65,P65)</f>
        <v>equivalente</v>
      </c>
      <c r="S65" s="7" t="str">
        <f aca="false">IF(P65="","",IF(P65=N65,"sim","não"))</f>
        <v/>
      </c>
      <c r="T65" s="10" t="s">
        <v>216</v>
      </c>
    </row>
    <row r="66" customFormat="false" ht="35.05" hidden="false" customHeight="false" outlineLevel="0" collapsed="false">
      <c r="A66" s="7" t="n">
        <v>64</v>
      </c>
      <c r="B66" s="7" t="s">
        <v>32</v>
      </c>
      <c r="C66" s="7" t="s">
        <v>42</v>
      </c>
      <c r="D66" s="7" t="s">
        <v>117</v>
      </c>
      <c r="E66" s="7" t="n">
        <v>25</v>
      </c>
      <c r="F66" s="7" t="s">
        <v>217</v>
      </c>
      <c r="G66" s="7" t="s">
        <v>218</v>
      </c>
      <c r="H66" s="7" t="s">
        <v>120</v>
      </c>
      <c r="I66" s="7" t="n">
        <v>0</v>
      </c>
      <c r="J66" s="8" t="n">
        <v>0</v>
      </c>
      <c r="K66" s="8" t="n">
        <v>0</v>
      </c>
      <c r="L66" s="8" t="n">
        <v>0</v>
      </c>
      <c r="M66" s="7" t="s">
        <v>211</v>
      </c>
      <c r="N66" s="7" t="s">
        <v>219</v>
      </c>
      <c r="O66" s="7" t="s">
        <v>220</v>
      </c>
      <c r="P66" s="9"/>
      <c r="Q66" s="9"/>
      <c r="R66" s="7" t="str">
        <f aca="false">IF(P66="",N66,P66)</f>
        <v>oráculo fraco</v>
      </c>
      <c r="S66" s="7" t="str">
        <f aca="false">IF(P66="","",IF(P66=N66,"sim","não"))</f>
        <v/>
      </c>
      <c r="T66" s="10" t="s">
        <v>221</v>
      </c>
    </row>
    <row r="67" customFormat="false" ht="35.05" hidden="false" customHeight="false" outlineLevel="0" collapsed="false">
      <c r="A67" s="7" t="n">
        <v>65</v>
      </c>
      <c r="B67" s="7" t="s">
        <v>32</v>
      </c>
      <c r="C67" s="7" t="s">
        <v>42</v>
      </c>
      <c r="D67" s="7" t="s">
        <v>117</v>
      </c>
      <c r="E67" s="7" t="n">
        <v>26</v>
      </c>
      <c r="F67" s="7" t="s">
        <v>222</v>
      </c>
      <c r="G67" s="7" t="s">
        <v>223</v>
      </c>
      <c r="H67" s="7" t="s">
        <v>120</v>
      </c>
      <c r="I67" s="7" t="n">
        <v>0</v>
      </c>
      <c r="J67" s="8" t="n">
        <v>0</v>
      </c>
      <c r="K67" s="8" t="n">
        <v>0</v>
      </c>
      <c r="L67" s="8" t="n">
        <v>0</v>
      </c>
      <c r="M67" s="7" t="s">
        <v>211</v>
      </c>
      <c r="N67" s="7" t="s">
        <v>219</v>
      </c>
      <c r="O67" s="7" t="s">
        <v>224</v>
      </c>
      <c r="P67" s="9"/>
      <c r="Q67" s="9"/>
      <c r="R67" s="7" t="str">
        <f aca="false">IF(P67="",N67,P67)</f>
        <v>oráculo fraco</v>
      </c>
      <c r="S67" s="7" t="str">
        <f aca="false">IF(P67="","",IF(P67=N67,"sim","não"))</f>
        <v/>
      </c>
      <c r="T67" s="10" t="s">
        <v>225</v>
      </c>
    </row>
    <row r="68" customFormat="false" ht="35.05" hidden="false" customHeight="false" outlineLevel="0" collapsed="false">
      <c r="A68" s="7" t="n">
        <v>66</v>
      </c>
      <c r="B68" s="7" t="s">
        <v>32</v>
      </c>
      <c r="C68" s="7" t="s">
        <v>42</v>
      </c>
      <c r="D68" s="7" t="s">
        <v>226</v>
      </c>
      <c r="E68" s="7" t="n">
        <v>24</v>
      </c>
      <c r="F68" s="7" t="s">
        <v>118</v>
      </c>
      <c r="G68" s="7" t="s">
        <v>227</v>
      </c>
      <c r="H68" s="7" t="s">
        <v>228</v>
      </c>
      <c r="I68" s="7" t="n">
        <v>0</v>
      </c>
      <c r="J68" s="8" t="n">
        <v>0</v>
      </c>
      <c r="K68" s="8" t="n">
        <v>0</v>
      </c>
      <c r="L68" s="8" t="n">
        <v>0</v>
      </c>
      <c r="M68" s="7" t="s">
        <v>211</v>
      </c>
      <c r="N68" s="7" t="s">
        <v>219</v>
      </c>
      <c r="O68" s="7" t="s">
        <v>229</v>
      </c>
      <c r="P68" s="9"/>
      <c r="Q68" s="9"/>
      <c r="R68" s="7" t="str">
        <f aca="false">IF(P68="",N68,P68)</f>
        <v>oráculo fraco</v>
      </c>
      <c r="S68" s="7" t="str">
        <f aca="false">IF(P68="","",IF(P68=N68,"sim","não"))</f>
        <v/>
      </c>
      <c r="T68" s="10" t="s">
        <v>230</v>
      </c>
    </row>
    <row r="69" customFormat="false" ht="46.25" hidden="false" customHeight="false" outlineLevel="0" collapsed="false">
      <c r="A69" s="7" t="n">
        <v>67</v>
      </c>
      <c r="B69" s="7" t="s">
        <v>32</v>
      </c>
      <c r="C69" s="7" t="s">
        <v>42</v>
      </c>
      <c r="D69" s="7" t="s">
        <v>122</v>
      </c>
      <c r="E69" s="7" t="n">
        <v>54</v>
      </c>
      <c r="F69" s="7" t="s">
        <v>231</v>
      </c>
      <c r="G69" s="7" t="s">
        <v>232</v>
      </c>
      <c r="H69" s="7" t="s">
        <v>233</v>
      </c>
      <c r="I69" s="7" t="n">
        <v>0</v>
      </c>
      <c r="J69" s="8" t="n">
        <v>0</v>
      </c>
      <c r="K69" s="8" t="n">
        <v>0</v>
      </c>
      <c r="L69" s="8" t="n">
        <v>0</v>
      </c>
      <c r="M69" s="7" t="s">
        <v>211</v>
      </c>
      <c r="N69" s="7" t="s">
        <v>219</v>
      </c>
      <c r="O69" s="7" t="s">
        <v>234</v>
      </c>
      <c r="P69" s="9"/>
      <c r="Q69" s="9"/>
      <c r="R69" s="7" t="str">
        <f aca="false">IF(P69="",N69,P69)</f>
        <v>oráculo fraco</v>
      </c>
      <c r="S69" s="7" t="str">
        <f aca="false">IF(P69="","",IF(P69=N69,"sim","não"))</f>
        <v/>
      </c>
      <c r="T69" s="10" t="s">
        <v>235</v>
      </c>
    </row>
    <row r="70" customFormat="false" ht="46.25" hidden="false" customHeight="false" outlineLevel="0" collapsed="false">
      <c r="A70" s="7" t="n">
        <v>68</v>
      </c>
      <c r="B70" s="7" t="s">
        <v>32</v>
      </c>
      <c r="C70" s="7" t="s">
        <v>42</v>
      </c>
      <c r="D70" s="7" t="s">
        <v>122</v>
      </c>
      <c r="E70" s="7" t="n">
        <v>134</v>
      </c>
      <c r="F70" s="7" t="s">
        <v>236</v>
      </c>
      <c r="G70" s="7" t="s">
        <v>237</v>
      </c>
      <c r="H70" s="7" t="s">
        <v>185</v>
      </c>
      <c r="I70" s="7" t="n">
        <v>0</v>
      </c>
      <c r="J70" s="8" t="n">
        <v>0</v>
      </c>
      <c r="K70" s="8" t="n">
        <v>0</v>
      </c>
      <c r="L70" s="8" t="n">
        <v>0</v>
      </c>
      <c r="M70" s="7" t="s">
        <v>211</v>
      </c>
      <c r="N70" s="7" t="s">
        <v>219</v>
      </c>
      <c r="O70" s="7" t="s">
        <v>234</v>
      </c>
      <c r="P70" s="9"/>
      <c r="Q70" s="9"/>
      <c r="R70" s="7" t="str">
        <f aca="false">IF(P70="",N70,P70)</f>
        <v>oráculo fraco</v>
      </c>
      <c r="S70" s="7" t="str">
        <f aca="false">IF(P70="","",IF(P70=N70,"sim","não"))</f>
        <v/>
      </c>
      <c r="T70" s="10" t="s">
        <v>238</v>
      </c>
    </row>
    <row r="71" customFormat="false" ht="46.25" hidden="false" customHeight="false" outlineLevel="0" collapsed="false">
      <c r="A71" s="7" t="n">
        <v>69</v>
      </c>
      <c r="B71" s="7" t="s">
        <v>32</v>
      </c>
      <c r="C71" s="7" t="s">
        <v>42</v>
      </c>
      <c r="D71" s="7" t="s">
        <v>122</v>
      </c>
      <c r="E71" s="7" t="n">
        <v>142</v>
      </c>
      <c r="F71" s="7" t="s">
        <v>236</v>
      </c>
      <c r="G71" s="7" t="s">
        <v>239</v>
      </c>
      <c r="H71" s="7" t="s">
        <v>240</v>
      </c>
      <c r="I71" s="7" t="n">
        <v>0</v>
      </c>
      <c r="J71" s="8" t="n">
        <v>0</v>
      </c>
      <c r="K71" s="8" t="n">
        <v>0</v>
      </c>
      <c r="L71" s="8" t="n">
        <v>0</v>
      </c>
      <c r="M71" s="7" t="s">
        <v>211</v>
      </c>
      <c r="N71" s="7" t="s">
        <v>219</v>
      </c>
      <c r="O71" s="7" t="s">
        <v>234</v>
      </c>
      <c r="P71" s="9"/>
      <c r="Q71" s="9"/>
      <c r="R71" s="7" t="str">
        <f aca="false">IF(P71="",N71,P71)</f>
        <v>oráculo fraco</v>
      </c>
      <c r="S71" s="7" t="str">
        <f aca="false">IF(P71="","",IF(P71=N71,"sim","não"))</f>
        <v/>
      </c>
      <c r="T71" s="10" t="s">
        <v>241</v>
      </c>
    </row>
    <row r="72" customFormat="false" ht="46.25" hidden="false" customHeight="false" outlineLevel="0" collapsed="false">
      <c r="A72" s="7" t="n">
        <v>70</v>
      </c>
      <c r="B72" s="7" t="s">
        <v>32</v>
      </c>
      <c r="C72" s="7" t="s">
        <v>42</v>
      </c>
      <c r="D72" s="7" t="s">
        <v>122</v>
      </c>
      <c r="E72" s="7" t="n">
        <v>174</v>
      </c>
      <c r="F72" s="7" t="s">
        <v>236</v>
      </c>
      <c r="G72" s="7" t="s">
        <v>242</v>
      </c>
      <c r="H72" s="7" t="s">
        <v>206</v>
      </c>
      <c r="I72" s="7" t="n">
        <v>0</v>
      </c>
      <c r="J72" s="8" t="n">
        <v>0</v>
      </c>
      <c r="K72" s="8" t="n">
        <v>0</v>
      </c>
      <c r="L72" s="8" t="n">
        <v>0</v>
      </c>
      <c r="M72" s="7" t="s">
        <v>211</v>
      </c>
      <c r="N72" s="7" t="s">
        <v>219</v>
      </c>
      <c r="O72" s="7" t="s">
        <v>234</v>
      </c>
      <c r="P72" s="9"/>
      <c r="Q72" s="9"/>
      <c r="R72" s="7" t="str">
        <f aca="false">IF(P72="",N72,P72)</f>
        <v>oráculo fraco</v>
      </c>
      <c r="S72" s="7" t="str">
        <f aca="false">IF(P72="","",IF(P72=N72,"sim","não"))</f>
        <v/>
      </c>
      <c r="T72" s="10" t="s">
        <v>243</v>
      </c>
    </row>
    <row r="73" customFormat="false" ht="46.25" hidden="false" customHeight="false" outlineLevel="0" collapsed="false">
      <c r="A73" s="7" t="n">
        <v>71</v>
      </c>
      <c r="B73" s="7" t="s">
        <v>32</v>
      </c>
      <c r="C73" s="7" t="s">
        <v>42</v>
      </c>
      <c r="D73" s="7" t="s">
        <v>122</v>
      </c>
      <c r="E73" s="7" t="n">
        <v>182</v>
      </c>
      <c r="F73" s="7" t="s">
        <v>236</v>
      </c>
      <c r="G73" s="7" t="s">
        <v>244</v>
      </c>
      <c r="H73" s="7" t="s">
        <v>206</v>
      </c>
      <c r="I73" s="7" t="n">
        <v>0</v>
      </c>
      <c r="J73" s="8" t="n">
        <v>0</v>
      </c>
      <c r="K73" s="8" t="n">
        <v>0</v>
      </c>
      <c r="L73" s="8" t="n">
        <v>0</v>
      </c>
      <c r="M73" s="7" t="s">
        <v>211</v>
      </c>
      <c r="N73" s="7" t="s">
        <v>219</v>
      </c>
      <c r="O73" s="7" t="s">
        <v>234</v>
      </c>
      <c r="P73" s="9"/>
      <c r="Q73" s="9"/>
      <c r="R73" s="7" t="str">
        <f aca="false">IF(P73="",N73,P73)</f>
        <v>oráculo fraco</v>
      </c>
      <c r="S73" s="7" t="str">
        <f aca="false">IF(P73="","",IF(P73=N73,"sim","não"))</f>
        <v/>
      </c>
      <c r="T73" s="10" t="s">
        <v>245</v>
      </c>
    </row>
    <row r="74" customFormat="false" ht="46.25" hidden="false" customHeight="false" outlineLevel="0" collapsed="false">
      <c r="A74" s="7" t="n">
        <v>72</v>
      </c>
      <c r="B74" s="7" t="s">
        <v>32</v>
      </c>
      <c r="C74" s="7" t="s">
        <v>42</v>
      </c>
      <c r="D74" s="7" t="s">
        <v>122</v>
      </c>
      <c r="E74" s="7" t="n">
        <v>187</v>
      </c>
      <c r="F74" s="7" t="s">
        <v>246</v>
      </c>
      <c r="G74" s="7" t="s">
        <v>247</v>
      </c>
      <c r="H74" s="7" t="s">
        <v>206</v>
      </c>
      <c r="I74" s="7" t="n">
        <v>0</v>
      </c>
      <c r="J74" s="8" t="n">
        <v>0</v>
      </c>
      <c r="K74" s="8" t="n">
        <v>0</v>
      </c>
      <c r="L74" s="8" t="n">
        <v>0</v>
      </c>
      <c r="M74" s="7" t="s">
        <v>211</v>
      </c>
      <c r="N74" s="7" t="s">
        <v>219</v>
      </c>
      <c r="O74" s="7" t="s">
        <v>234</v>
      </c>
      <c r="P74" s="9"/>
      <c r="Q74" s="9"/>
      <c r="R74" s="7" t="str">
        <f aca="false">IF(P74="",N74,P74)</f>
        <v>oráculo fraco</v>
      </c>
      <c r="S74" s="7" t="str">
        <f aca="false">IF(P74="","",IF(P74=N74,"sim","não"))</f>
        <v/>
      </c>
      <c r="T74" s="10" t="s">
        <v>248</v>
      </c>
    </row>
    <row r="75" customFormat="false" ht="46.25" hidden="false" customHeight="false" outlineLevel="0" collapsed="false">
      <c r="A75" s="7" t="n">
        <v>73</v>
      </c>
      <c r="B75" s="7" t="s">
        <v>32</v>
      </c>
      <c r="C75" s="7" t="s">
        <v>42</v>
      </c>
      <c r="D75" s="7" t="s">
        <v>122</v>
      </c>
      <c r="E75" s="7" t="n">
        <v>192</v>
      </c>
      <c r="F75" s="7" t="s">
        <v>249</v>
      </c>
      <c r="G75" s="7" t="s">
        <v>250</v>
      </c>
      <c r="H75" s="7" t="s">
        <v>206</v>
      </c>
      <c r="I75" s="7" t="n">
        <v>0</v>
      </c>
      <c r="J75" s="8" t="n">
        <v>0</v>
      </c>
      <c r="K75" s="8" t="n">
        <v>0</v>
      </c>
      <c r="L75" s="8" t="n">
        <v>0</v>
      </c>
      <c r="M75" s="7" t="s">
        <v>211</v>
      </c>
      <c r="N75" s="7" t="s">
        <v>219</v>
      </c>
      <c r="O75" s="7" t="s">
        <v>234</v>
      </c>
      <c r="P75" s="9"/>
      <c r="Q75" s="9"/>
      <c r="R75" s="7" t="str">
        <f aca="false">IF(P75="",N75,P75)</f>
        <v>oráculo fraco</v>
      </c>
      <c r="S75" s="7" t="str">
        <f aca="false">IF(P75="","",IF(P75=N75,"sim","não"))</f>
        <v/>
      </c>
      <c r="T75" s="10" t="s">
        <v>251</v>
      </c>
    </row>
    <row r="76" customFormat="false" ht="46.25" hidden="false" customHeight="false" outlineLevel="0" collapsed="false">
      <c r="A76" s="7" t="n">
        <v>74</v>
      </c>
      <c r="B76" s="7" t="s">
        <v>32</v>
      </c>
      <c r="C76" s="7" t="s">
        <v>42</v>
      </c>
      <c r="D76" s="7" t="s">
        <v>122</v>
      </c>
      <c r="E76" s="7" t="n">
        <v>207</v>
      </c>
      <c r="F76" s="7" t="s">
        <v>236</v>
      </c>
      <c r="G76" s="7" t="s">
        <v>252</v>
      </c>
      <c r="H76" s="7" t="s">
        <v>206</v>
      </c>
      <c r="I76" s="7" t="n">
        <v>0</v>
      </c>
      <c r="J76" s="8" t="n">
        <v>0</v>
      </c>
      <c r="K76" s="8" t="n">
        <v>0</v>
      </c>
      <c r="L76" s="8" t="n">
        <v>0</v>
      </c>
      <c r="M76" s="7" t="s">
        <v>211</v>
      </c>
      <c r="N76" s="7" t="s">
        <v>219</v>
      </c>
      <c r="O76" s="7" t="s">
        <v>253</v>
      </c>
      <c r="P76" s="9"/>
      <c r="Q76" s="9"/>
      <c r="R76" s="7" t="str">
        <f aca="false">IF(P76="",N76,P76)</f>
        <v>oráculo fraco</v>
      </c>
      <c r="S76" s="7" t="str">
        <f aca="false">IF(P76="","",IF(P76=N76,"sim","não"))</f>
        <v/>
      </c>
      <c r="T76" s="10" t="s">
        <v>254</v>
      </c>
    </row>
    <row r="77" customFormat="false" ht="35.05" hidden="false" customHeight="false" outlineLevel="0" collapsed="false">
      <c r="A77" s="7" t="n">
        <v>75</v>
      </c>
      <c r="B77" s="7" t="s">
        <v>32</v>
      </c>
      <c r="C77" s="7" t="s">
        <v>33</v>
      </c>
      <c r="D77" s="7" t="s">
        <v>34</v>
      </c>
      <c r="E77" s="7" t="n">
        <v>40</v>
      </c>
      <c r="F77" s="7" t="s">
        <v>43</v>
      </c>
      <c r="G77" s="7" t="s">
        <v>44</v>
      </c>
      <c r="H77" s="7" t="s">
        <v>45</v>
      </c>
      <c r="I77" s="7" t="n">
        <v>85</v>
      </c>
      <c r="J77" s="8" t="n">
        <v>0.833</v>
      </c>
      <c r="K77" s="8" t="n">
        <v>1</v>
      </c>
      <c r="L77" s="8" t="n">
        <v>1</v>
      </c>
      <c r="M77" s="7" t="s">
        <v>38</v>
      </c>
      <c r="N77" s="7" t="s">
        <v>39</v>
      </c>
      <c r="O77" s="7" t="s">
        <v>151</v>
      </c>
      <c r="P77" s="9"/>
      <c r="Q77" s="9"/>
      <c r="R77" s="7" t="str">
        <f aca="false">IF(P77="",N77,P77)</f>
        <v>entrada não gerada</v>
      </c>
      <c r="S77" s="7" t="str">
        <f aca="false">IF(P77="","",IF(P77=N77,"sim","não"))</f>
        <v/>
      </c>
      <c r="T77" s="10" t="s">
        <v>47</v>
      </c>
    </row>
    <row r="78" customFormat="false" ht="23.85" hidden="false" customHeight="false" outlineLevel="0" collapsed="false">
      <c r="A78" s="7" t="n">
        <v>76</v>
      </c>
      <c r="B78" s="7" t="s">
        <v>32</v>
      </c>
      <c r="C78" s="7" t="s">
        <v>33</v>
      </c>
      <c r="D78" s="7" t="s">
        <v>34</v>
      </c>
      <c r="E78" s="7" t="n">
        <v>58</v>
      </c>
      <c r="F78" s="7" t="s">
        <v>52</v>
      </c>
      <c r="G78" s="7" t="s">
        <v>63</v>
      </c>
      <c r="H78" s="7" t="s">
        <v>37</v>
      </c>
      <c r="I78" s="7" t="n">
        <v>87</v>
      </c>
      <c r="J78" s="8" t="n">
        <v>0.9</v>
      </c>
      <c r="K78" s="8" t="n">
        <v>1</v>
      </c>
      <c r="L78" s="8" t="n">
        <v>1</v>
      </c>
      <c r="M78" s="7" t="s">
        <v>38</v>
      </c>
      <c r="N78" s="7" t="s">
        <v>39</v>
      </c>
      <c r="O78" s="7" t="s">
        <v>134</v>
      </c>
      <c r="P78" s="9"/>
      <c r="Q78" s="9"/>
      <c r="R78" s="7" t="str">
        <f aca="false">IF(P78="",N78,P78)</f>
        <v>entrada não gerada</v>
      </c>
      <c r="S78" s="7" t="str">
        <f aca="false">IF(P78="","",IF(P78=N78,"sim","não"))</f>
        <v/>
      </c>
      <c r="T78" s="10" t="s">
        <v>255</v>
      </c>
    </row>
    <row r="79" customFormat="false" ht="23.85" hidden="false" customHeight="false" outlineLevel="0" collapsed="false">
      <c r="A79" s="7" t="n">
        <v>77</v>
      </c>
      <c r="B79" s="7" t="s">
        <v>32</v>
      </c>
      <c r="C79" s="7" t="s">
        <v>33</v>
      </c>
      <c r="D79" s="7" t="s">
        <v>34</v>
      </c>
      <c r="E79" s="7" t="n">
        <v>58</v>
      </c>
      <c r="F79" s="7" t="s">
        <v>52</v>
      </c>
      <c r="G79" s="7" t="s">
        <v>55</v>
      </c>
      <c r="H79" s="7" t="s">
        <v>37</v>
      </c>
      <c r="I79" s="7" t="n">
        <v>82</v>
      </c>
      <c r="J79" s="8" t="n">
        <v>0.733</v>
      </c>
      <c r="K79" s="8" t="n">
        <v>1</v>
      </c>
      <c r="L79" s="8" t="n">
        <v>1</v>
      </c>
      <c r="M79" s="7" t="s">
        <v>38</v>
      </c>
      <c r="N79" s="7" t="s">
        <v>39</v>
      </c>
      <c r="O79" s="7" t="s">
        <v>256</v>
      </c>
      <c r="P79" s="9"/>
      <c r="Q79" s="9"/>
      <c r="R79" s="7" t="str">
        <f aca="false">IF(P79="",N79,P79)</f>
        <v>entrada não gerada</v>
      </c>
      <c r="S79" s="7" t="str">
        <f aca="false">IF(P79="","",IF(P79=N79,"sim","não"))</f>
        <v/>
      </c>
      <c r="T79" s="10" t="s">
        <v>57</v>
      </c>
    </row>
    <row r="80" customFormat="false" ht="23.85" hidden="false" customHeight="false" outlineLevel="0" collapsed="false">
      <c r="A80" s="7" t="n">
        <v>78</v>
      </c>
      <c r="B80" s="7" t="s">
        <v>32</v>
      </c>
      <c r="C80" s="7" t="s">
        <v>33</v>
      </c>
      <c r="D80" s="7" t="s">
        <v>34</v>
      </c>
      <c r="E80" s="7" t="n">
        <v>61</v>
      </c>
      <c r="F80" s="7" t="s">
        <v>35</v>
      </c>
      <c r="G80" s="7" t="s">
        <v>63</v>
      </c>
      <c r="H80" s="7" t="s">
        <v>37</v>
      </c>
      <c r="I80" s="7" t="n">
        <v>74</v>
      </c>
      <c r="J80" s="8" t="n">
        <v>0.467</v>
      </c>
      <c r="K80" s="8" t="n">
        <v>1</v>
      </c>
      <c r="L80" s="8" t="n">
        <v>1</v>
      </c>
      <c r="M80" s="7" t="s">
        <v>38</v>
      </c>
      <c r="N80" s="7" t="s">
        <v>39</v>
      </c>
      <c r="O80" s="7" t="s">
        <v>59</v>
      </c>
      <c r="P80" s="9"/>
      <c r="Q80" s="9"/>
      <c r="R80" s="7" t="str">
        <f aca="false">IF(P80="",N80,P80)</f>
        <v>entrada não gerada</v>
      </c>
      <c r="S80" s="7" t="str">
        <f aca="false">IF(P80="","",IF(P80=N80,"sim","não"))</f>
        <v/>
      </c>
      <c r="T80" s="10" t="s">
        <v>65</v>
      </c>
    </row>
    <row r="81" customFormat="false" ht="23.85" hidden="false" customHeight="false" outlineLevel="0" collapsed="false">
      <c r="A81" s="7" t="n">
        <v>79</v>
      </c>
      <c r="B81" s="7" t="s">
        <v>32</v>
      </c>
      <c r="C81" s="7" t="s">
        <v>33</v>
      </c>
      <c r="D81" s="7" t="s">
        <v>34</v>
      </c>
      <c r="E81" s="7" t="n">
        <v>61</v>
      </c>
      <c r="F81" s="7" t="s">
        <v>35</v>
      </c>
      <c r="G81" s="7" t="s">
        <v>55</v>
      </c>
      <c r="H81" s="7" t="s">
        <v>37</v>
      </c>
      <c r="I81" s="7" t="n">
        <v>75</v>
      </c>
      <c r="J81" s="8" t="n">
        <v>0.5</v>
      </c>
      <c r="K81" s="8" t="n">
        <v>1</v>
      </c>
      <c r="L81" s="8" t="n">
        <v>1</v>
      </c>
      <c r="M81" s="7" t="s">
        <v>38</v>
      </c>
      <c r="N81" s="7" t="s">
        <v>39</v>
      </c>
      <c r="O81" s="7" t="s">
        <v>103</v>
      </c>
      <c r="P81" s="9"/>
      <c r="Q81" s="9"/>
      <c r="R81" s="7" t="str">
        <f aca="false">IF(P81="",N81,P81)</f>
        <v>entrada não gerada</v>
      </c>
      <c r="S81" s="7" t="str">
        <f aca="false">IF(P81="","",IF(P81=N81,"sim","não"))</f>
        <v/>
      </c>
      <c r="T81" s="10" t="s">
        <v>67</v>
      </c>
    </row>
    <row r="82" customFormat="false" ht="23.85" hidden="false" customHeight="false" outlineLevel="0" collapsed="false">
      <c r="A82" s="7" t="n">
        <v>80</v>
      </c>
      <c r="B82" s="7" t="s">
        <v>32</v>
      </c>
      <c r="C82" s="7" t="s">
        <v>33</v>
      </c>
      <c r="D82" s="7" t="s">
        <v>34</v>
      </c>
      <c r="E82" s="7" t="n">
        <v>70</v>
      </c>
      <c r="F82" s="7" t="s">
        <v>84</v>
      </c>
      <c r="G82" s="7" t="s">
        <v>63</v>
      </c>
      <c r="H82" s="7" t="s">
        <v>70</v>
      </c>
      <c r="I82" s="7" t="n">
        <v>72</v>
      </c>
      <c r="J82" s="8" t="n">
        <v>0.4</v>
      </c>
      <c r="K82" s="8" t="n">
        <v>1</v>
      </c>
      <c r="L82" s="8" t="n">
        <v>1</v>
      </c>
      <c r="M82" s="7" t="s">
        <v>38</v>
      </c>
      <c r="N82" s="7" t="s">
        <v>39</v>
      </c>
      <c r="O82" s="7" t="s">
        <v>111</v>
      </c>
      <c r="P82" s="9"/>
      <c r="Q82" s="9"/>
      <c r="R82" s="7" t="str">
        <f aca="false">IF(P82="",N82,P82)</f>
        <v>entrada não gerada</v>
      </c>
      <c r="S82" s="7" t="str">
        <f aca="false">IF(P82="","",IF(P82=N82,"sim","não"))</f>
        <v/>
      </c>
      <c r="T82" s="10" t="s">
        <v>85</v>
      </c>
    </row>
    <row r="83" customFormat="false" ht="23.85" hidden="false" customHeight="false" outlineLevel="0" collapsed="false">
      <c r="A83" s="7" t="n">
        <v>81</v>
      </c>
      <c r="B83" s="7" t="s">
        <v>32</v>
      </c>
      <c r="C83" s="7" t="s">
        <v>33</v>
      </c>
      <c r="D83" s="7" t="s">
        <v>34</v>
      </c>
      <c r="E83" s="7" t="n">
        <v>70</v>
      </c>
      <c r="F83" s="7" t="s">
        <v>84</v>
      </c>
      <c r="G83" s="7" t="s">
        <v>49</v>
      </c>
      <c r="H83" s="7" t="s">
        <v>70</v>
      </c>
      <c r="I83" s="7" t="n">
        <v>74</v>
      </c>
      <c r="J83" s="8" t="n">
        <v>0.467</v>
      </c>
      <c r="K83" s="8" t="n">
        <v>1</v>
      </c>
      <c r="L83" s="8" t="n">
        <v>1</v>
      </c>
      <c r="M83" s="7" t="s">
        <v>38</v>
      </c>
      <c r="N83" s="7" t="s">
        <v>39</v>
      </c>
      <c r="O83" s="7" t="s">
        <v>59</v>
      </c>
      <c r="P83" s="9"/>
      <c r="Q83" s="9"/>
      <c r="R83" s="7" t="str">
        <f aca="false">IF(P83="",N83,P83)</f>
        <v>entrada não gerada</v>
      </c>
      <c r="S83" s="7" t="str">
        <f aca="false">IF(P83="","",IF(P83=N83,"sim","não"))</f>
        <v/>
      </c>
      <c r="T83" s="10" t="s">
        <v>257</v>
      </c>
    </row>
    <row r="84" customFormat="false" ht="23.85" hidden="false" customHeight="false" outlineLevel="0" collapsed="false">
      <c r="A84" s="7" t="n">
        <v>82</v>
      </c>
      <c r="B84" s="7" t="s">
        <v>32</v>
      </c>
      <c r="C84" s="7" t="s">
        <v>33</v>
      </c>
      <c r="D84" s="7" t="s">
        <v>34</v>
      </c>
      <c r="E84" s="7" t="n">
        <v>80</v>
      </c>
      <c r="F84" s="7" t="s">
        <v>258</v>
      </c>
      <c r="G84" s="7" t="s">
        <v>259</v>
      </c>
      <c r="H84" s="7" t="s">
        <v>45</v>
      </c>
      <c r="I84" s="7" t="n">
        <v>82</v>
      </c>
      <c r="J84" s="8" t="n">
        <v>0.733</v>
      </c>
      <c r="K84" s="8" t="n">
        <v>1</v>
      </c>
      <c r="L84" s="8" t="n">
        <v>1</v>
      </c>
      <c r="M84" s="7" t="s">
        <v>38</v>
      </c>
      <c r="N84" s="7" t="s">
        <v>39</v>
      </c>
      <c r="O84" s="7" t="s">
        <v>256</v>
      </c>
      <c r="P84" s="9"/>
      <c r="Q84" s="9"/>
      <c r="R84" s="7" t="str">
        <f aca="false">IF(P84="",N84,P84)</f>
        <v>entrada não gerada</v>
      </c>
      <c r="S84" s="7" t="str">
        <f aca="false">IF(P84="","",IF(P84=N84,"sim","não"))</f>
        <v/>
      </c>
      <c r="T84" s="10" t="s">
        <v>260</v>
      </c>
    </row>
    <row r="85" customFormat="false" ht="35.05" hidden="false" customHeight="false" outlineLevel="0" collapsed="false">
      <c r="A85" s="7" t="n">
        <v>83</v>
      </c>
      <c r="B85" s="7" t="s">
        <v>32</v>
      </c>
      <c r="C85" s="7" t="s">
        <v>33</v>
      </c>
      <c r="D85" s="7" t="s">
        <v>92</v>
      </c>
      <c r="E85" s="7" t="n">
        <v>28</v>
      </c>
      <c r="F85" s="7" t="s">
        <v>105</v>
      </c>
      <c r="G85" s="7" t="s">
        <v>106</v>
      </c>
      <c r="H85" s="7" t="s">
        <v>95</v>
      </c>
      <c r="I85" s="7" t="n">
        <v>70</v>
      </c>
      <c r="J85" s="8" t="n">
        <v>0.333</v>
      </c>
      <c r="K85" s="8" t="n">
        <v>1</v>
      </c>
      <c r="L85" s="8" t="n">
        <v>1</v>
      </c>
      <c r="M85" s="7" t="s">
        <v>38</v>
      </c>
      <c r="N85" s="7" t="s">
        <v>39</v>
      </c>
      <c r="O85" s="7" t="s">
        <v>140</v>
      </c>
      <c r="P85" s="9"/>
      <c r="Q85" s="9"/>
      <c r="R85" s="7" t="str">
        <f aca="false">IF(P85="",N85,P85)</f>
        <v>entrada não gerada</v>
      </c>
      <c r="S85" s="7" t="str">
        <f aca="false">IF(P85="","",IF(P85=N85,"sim","não"))</f>
        <v/>
      </c>
      <c r="T85" s="10" t="s">
        <v>108</v>
      </c>
    </row>
    <row r="86" customFormat="false" ht="23.85" hidden="false" customHeight="false" outlineLevel="0" collapsed="false">
      <c r="A86" s="7" t="n">
        <v>84</v>
      </c>
      <c r="B86" s="7" t="s">
        <v>32</v>
      </c>
      <c r="C86" s="7" t="s">
        <v>33</v>
      </c>
      <c r="D86" s="7" t="s">
        <v>226</v>
      </c>
      <c r="E86" s="7" t="n">
        <v>22</v>
      </c>
      <c r="F86" s="7" t="s">
        <v>261</v>
      </c>
      <c r="G86" s="7" t="s">
        <v>262</v>
      </c>
      <c r="H86" s="7" t="s">
        <v>228</v>
      </c>
      <c r="I86" s="7" t="n">
        <v>89</v>
      </c>
      <c r="J86" s="8" t="n">
        <v>0.967</v>
      </c>
      <c r="K86" s="8" t="n">
        <v>1</v>
      </c>
      <c r="L86" s="8" t="n">
        <v>1</v>
      </c>
      <c r="M86" s="7" t="s">
        <v>38</v>
      </c>
      <c r="N86" s="7" t="s">
        <v>39</v>
      </c>
      <c r="O86" s="7" t="s">
        <v>56</v>
      </c>
      <c r="P86" s="9"/>
      <c r="Q86" s="9"/>
      <c r="R86" s="7" t="str">
        <f aca="false">IF(P86="",N86,P86)</f>
        <v>entrada não gerada</v>
      </c>
      <c r="S86" s="7" t="str">
        <f aca="false">IF(P86="","",IF(P86=N86,"sim","não"))</f>
        <v/>
      </c>
      <c r="T86" s="10" t="s">
        <v>263</v>
      </c>
    </row>
    <row r="87" customFormat="false" ht="35.05" hidden="false" customHeight="false" outlineLevel="0" collapsed="false">
      <c r="A87" s="7" t="n">
        <v>85</v>
      </c>
      <c r="B87" s="7" t="s">
        <v>32</v>
      </c>
      <c r="C87" s="7" t="s">
        <v>33</v>
      </c>
      <c r="D87" s="7" t="s">
        <v>226</v>
      </c>
      <c r="E87" s="7" t="n">
        <v>27</v>
      </c>
      <c r="F87" s="7" t="s">
        <v>264</v>
      </c>
      <c r="G87" s="7" t="s">
        <v>265</v>
      </c>
      <c r="H87" s="7" t="s">
        <v>228</v>
      </c>
      <c r="I87" s="7" t="n">
        <v>89</v>
      </c>
      <c r="J87" s="8" t="n">
        <v>0.967</v>
      </c>
      <c r="K87" s="8" t="n">
        <v>1</v>
      </c>
      <c r="L87" s="8" t="n">
        <v>1</v>
      </c>
      <c r="M87" s="7" t="s">
        <v>38</v>
      </c>
      <c r="N87" s="7" t="s">
        <v>39</v>
      </c>
      <c r="O87" s="7" t="s">
        <v>56</v>
      </c>
      <c r="P87" s="9"/>
      <c r="Q87" s="9"/>
      <c r="R87" s="7" t="str">
        <f aca="false">IF(P87="",N87,P87)</f>
        <v>entrada não gerada</v>
      </c>
      <c r="S87" s="7" t="str">
        <f aca="false">IF(P87="","",IF(P87=N87,"sim","não"))</f>
        <v/>
      </c>
      <c r="T87" s="10" t="s">
        <v>266</v>
      </c>
    </row>
    <row r="88" customFormat="false" ht="46.25" hidden="false" customHeight="false" outlineLevel="0" collapsed="false">
      <c r="A88" s="7" t="n">
        <v>86</v>
      </c>
      <c r="B88" s="7" t="s">
        <v>32</v>
      </c>
      <c r="C88" s="7" t="s">
        <v>33</v>
      </c>
      <c r="D88" s="7" t="s">
        <v>267</v>
      </c>
      <c r="E88" s="7" t="n">
        <v>39</v>
      </c>
      <c r="F88" s="7" t="s">
        <v>268</v>
      </c>
      <c r="G88" s="7" t="s">
        <v>269</v>
      </c>
      <c r="H88" s="7" t="s">
        <v>185</v>
      </c>
      <c r="I88" s="7" t="n">
        <v>89</v>
      </c>
      <c r="J88" s="8" t="n">
        <v>0.967</v>
      </c>
      <c r="K88" s="8" t="n">
        <v>1</v>
      </c>
      <c r="L88" s="8" t="n">
        <v>1</v>
      </c>
      <c r="M88" s="7" t="s">
        <v>38</v>
      </c>
      <c r="N88" s="7" t="s">
        <v>39</v>
      </c>
      <c r="O88" s="7" t="s">
        <v>56</v>
      </c>
      <c r="P88" s="9"/>
      <c r="Q88" s="9"/>
      <c r="R88" s="7" t="str">
        <f aca="false">IF(P88="",N88,P88)</f>
        <v>entrada não gerada</v>
      </c>
      <c r="S88" s="7" t="str">
        <f aca="false">IF(P88="","",IF(P88=N88,"sim","não"))</f>
        <v/>
      </c>
      <c r="T88" s="10" t="s">
        <v>270</v>
      </c>
    </row>
    <row r="89" customFormat="false" ht="35.05" hidden="false" customHeight="false" outlineLevel="0" collapsed="false">
      <c r="A89" s="7" t="n">
        <v>87</v>
      </c>
      <c r="B89" s="7" t="s">
        <v>32</v>
      </c>
      <c r="C89" s="7" t="s">
        <v>33</v>
      </c>
      <c r="D89" s="7" t="s">
        <v>122</v>
      </c>
      <c r="E89" s="7" t="n">
        <v>92</v>
      </c>
      <c r="F89" s="7" t="s">
        <v>150</v>
      </c>
      <c r="G89" s="7" t="s">
        <v>36</v>
      </c>
      <c r="H89" s="7" t="s">
        <v>95</v>
      </c>
      <c r="I89" s="7" t="n">
        <v>82</v>
      </c>
      <c r="J89" s="8" t="n">
        <v>0.733</v>
      </c>
      <c r="K89" s="8" t="n">
        <v>1</v>
      </c>
      <c r="L89" s="8" t="n">
        <v>1</v>
      </c>
      <c r="M89" s="7" t="s">
        <v>38</v>
      </c>
      <c r="N89" s="7" t="s">
        <v>39</v>
      </c>
      <c r="O89" s="7" t="s">
        <v>256</v>
      </c>
      <c r="P89" s="9"/>
      <c r="Q89" s="9"/>
      <c r="R89" s="7" t="str">
        <f aca="false">IF(P89="",N89,P89)</f>
        <v>entrada não gerada</v>
      </c>
      <c r="S89" s="7" t="str">
        <f aca="false">IF(P89="","",IF(P89=N89,"sim","não"))</f>
        <v/>
      </c>
      <c r="T89" s="10" t="s">
        <v>152</v>
      </c>
    </row>
    <row r="90" customFormat="false" ht="35.05" hidden="false" customHeight="false" outlineLevel="0" collapsed="false">
      <c r="A90" s="7" t="n">
        <v>88</v>
      </c>
      <c r="B90" s="7" t="s">
        <v>32</v>
      </c>
      <c r="C90" s="7" t="s">
        <v>33</v>
      </c>
      <c r="D90" s="7" t="s">
        <v>122</v>
      </c>
      <c r="E90" s="7" t="n">
        <v>92</v>
      </c>
      <c r="F90" s="7" t="s">
        <v>150</v>
      </c>
      <c r="G90" s="7" t="s">
        <v>36</v>
      </c>
      <c r="H90" s="7" t="s">
        <v>95</v>
      </c>
      <c r="I90" s="7" t="n">
        <v>85</v>
      </c>
      <c r="J90" s="8" t="n">
        <v>0.833</v>
      </c>
      <c r="K90" s="8" t="n">
        <v>1</v>
      </c>
      <c r="L90" s="8" t="n">
        <v>1</v>
      </c>
      <c r="M90" s="7" t="s">
        <v>38</v>
      </c>
      <c r="N90" s="7" t="s">
        <v>39</v>
      </c>
      <c r="O90" s="7" t="s">
        <v>151</v>
      </c>
      <c r="P90" s="9"/>
      <c r="Q90" s="9"/>
      <c r="R90" s="7" t="str">
        <f aca="false">IF(P90="",N90,P90)</f>
        <v>entrada não gerada</v>
      </c>
      <c r="S90" s="7" t="str">
        <f aca="false">IF(P90="","",IF(P90=N90,"sim","não"))</f>
        <v/>
      </c>
      <c r="T90" s="10" t="s">
        <v>154</v>
      </c>
    </row>
    <row r="91" customFormat="false" ht="35.05" hidden="false" customHeight="false" outlineLevel="0" collapsed="false">
      <c r="A91" s="7" t="n">
        <v>89</v>
      </c>
      <c r="B91" s="7" t="s">
        <v>32</v>
      </c>
      <c r="C91" s="7" t="s">
        <v>33</v>
      </c>
      <c r="D91" s="7" t="s">
        <v>122</v>
      </c>
      <c r="E91" s="7" t="n">
        <v>92</v>
      </c>
      <c r="F91" s="7" t="s">
        <v>150</v>
      </c>
      <c r="G91" s="7" t="s">
        <v>63</v>
      </c>
      <c r="H91" s="7" t="s">
        <v>95</v>
      </c>
      <c r="I91" s="7" t="n">
        <v>89</v>
      </c>
      <c r="J91" s="8" t="n">
        <v>0.967</v>
      </c>
      <c r="K91" s="8" t="n">
        <v>1</v>
      </c>
      <c r="L91" s="8" t="n">
        <v>1</v>
      </c>
      <c r="M91" s="7" t="s">
        <v>38</v>
      </c>
      <c r="N91" s="7" t="s">
        <v>39</v>
      </c>
      <c r="O91" s="7" t="s">
        <v>56</v>
      </c>
      <c r="P91" s="9"/>
      <c r="Q91" s="9"/>
      <c r="R91" s="7" t="str">
        <f aca="false">IF(P91="",N91,P91)</f>
        <v>entrada não gerada</v>
      </c>
      <c r="S91" s="7" t="str">
        <f aca="false">IF(P91="","",IF(P91=N91,"sim","não"))</f>
        <v/>
      </c>
      <c r="T91" s="10" t="s">
        <v>271</v>
      </c>
    </row>
    <row r="92" customFormat="false" ht="35.05" hidden="false" customHeight="false" outlineLevel="0" collapsed="false">
      <c r="A92" s="7" t="n">
        <v>90</v>
      </c>
      <c r="B92" s="7" t="s">
        <v>32</v>
      </c>
      <c r="C92" s="7" t="s">
        <v>33</v>
      </c>
      <c r="D92" s="7" t="s">
        <v>122</v>
      </c>
      <c r="E92" s="7" t="n">
        <v>124</v>
      </c>
      <c r="F92" s="7" t="s">
        <v>272</v>
      </c>
      <c r="G92" s="7" t="s">
        <v>273</v>
      </c>
      <c r="H92" s="7" t="s">
        <v>185</v>
      </c>
      <c r="I92" s="7" t="n">
        <v>89</v>
      </c>
      <c r="J92" s="8" t="n">
        <v>0.967</v>
      </c>
      <c r="K92" s="8" t="n">
        <v>1</v>
      </c>
      <c r="L92" s="8" t="n">
        <v>1</v>
      </c>
      <c r="M92" s="7" t="s">
        <v>38</v>
      </c>
      <c r="N92" s="7" t="s">
        <v>39</v>
      </c>
      <c r="O92" s="7" t="s">
        <v>56</v>
      </c>
      <c r="P92" s="9"/>
      <c r="Q92" s="9"/>
      <c r="R92" s="7" t="str">
        <f aca="false">IF(P92="",N92,P92)</f>
        <v>entrada não gerada</v>
      </c>
      <c r="S92" s="7" t="str">
        <f aca="false">IF(P92="","",IF(P92=N92,"sim","não"))</f>
        <v/>
      </c>
      <c r="T92" s="10" t="s">
        <v>274</v>
      </c>
    </row>
    <row r="93" customFormat="false" ht="23.85" hidden="false" customHeight="false" outlineLevel="0" collapsed="false">
      <c r="A93" s="7" t="n">
        <v>91</v>
      </c>
      <c r="B93" s="7" t="s">
        <v>32</v>
      </c>
      <c r="C93" s="7" t="s">
        <v>33</v>
      </c>
      <c r="D93" s="7" t="s">
        <v>122</v>
      </c>
      <c r="E93" s="7" t="n">
        <v>160</v>
      </c>
      <c r="F93" s="7" t="s">
        <v>197</v>
      </c>
      <c r="G93" s="7" t="s">
        <v>63</v>
      </c>
      <c r="H93" s="7" t="s">
        <v>198</v>
      </c>
      <c r="I93" s="7" t="n">
        <v>89</v>
      </c>
      <c r="J93" s="8" t="n">
        <v>0.967</v>
      </c>
      <c r="K93" s="8" t="n">
        <v>1</v>
      </c>
      <c r="L93" s="8" t="n">
        <v>1</v>
      </c>
      <c r="M93" s="7" t="s">
        <v>38</v>
      </c>
      <c r="N93" s="7" t="s">
        <v>39</v>
      </c>
      <c r="O93" s="7" t="s">
        <v>56</v>
      </c>
      <c r="P93" s="9"/>
      <c r="Q93" s="9"/>
      <c r="R93" s="7" t="str">
        <f aca="false">IF(P93="",N93,P93)</f>
        <v>entrada não gerada</v>
      </c>
      <c r="S93" s="7" t="str">
        <f aca="false">IF(P93="","",IF(P93=N93,"sim","não"))</f>
        <v/>
      </c>
      <c r="T93" s="10" t="s">
        <v>275</v>
      </c>
    </row>
    <row r="94" customFormat="false" ht="23.85" hidden="false" customHeight="false" outlineLevel="0" collapsed="false">
      <c r="A94" s="7" t="n">
        <v>92</v>
      </c>
      <c r="B94" s="7" t="s">
        <v>32</v>
      </c>
      <c r="C94" s="7" t="s">
        <v>33</v>
      </c>
      <c r="D94" s="7" t="s">
        <v>122</v>
      </c>
      <c r="E94" s="7" t="n">
        <v>160</v>
      </c>
      <c r="F94" s="7" t="s">
        <v>197</v>
      </c>
      <c r="G94" s="7" t="s">
        <v>49</v>
      </c>
      <c r="H94" s="7" t="s">
        <v>198</v>
      </c>
      <c r="I94" s="7" t="n">
        <v>89</v>
      </c>
      <c r="J94" s="8" t="n">
        <v>0.967</v>
      </c>
      <c r="K94" s="8" t="n">
        <v>1</v>
      </c>
      <c r="L94" s="8" t="n">
        <v>1</v>
      </c>
      <c r="M94" s="7" t="s">
        <v>38</v>
      </c>
      <c r="N94" s="7" t="s">
        <v>39</v>
      </c>
      <c r="O94" s="7" t="s">
        <v>56</v>
      </c>
      <c r="P94" s="9"/>
      <c r="Q94" s="9"/>
      <c r="R94" s="7" t="str">
        <f aca="false">IF(P94="",N94,P94)</f>
        <v>entrada não gerada</v>
      </c>
      <c r="S94" s="7" t="str">
        <f aca="false">IF(P94="","",IF(P94=N94,"sim","não"))</f>
        <v/>
      </c>
      <c r="T94" s="10" t="s">
        <v>276</v>
      </c>
    </row>
    <row r="95" customFormat="false" ht="35.05" hidden="false" customHeight="false" outlineLevel="0" collapsed="false">
      <c r="A95" s="7" t="n">
        <v>93</v>
      </c>
      <c r="B95" s="7" t="s">
        <v>32</v>
      </c>
      <c r="C95" s="7" t="s">
        <v>33</v>
      </c>
      <c r="D95" s="7" t="s">
        <v>122</v>
      </c>
      <c r="E95" s="7" t="n">
        <v>166</v>
      </c>
      <c r="F95" s="7" t="s">
        <v>202</v>
      </c>
      <c r="G95" s="7" t="s">
        <v>58</v>
      </c>
      <c r="H95" s="7" t="s">
        <v>200</v>
      </c>
      <c r="I95" s="7" t="n">
        <v>89</v>
      </c>
      <c r="J95" s="8" t="n">
        <v>0.967</v>
      </c>
      <c r="K95" s="8" t="n">
        <v>1</v>
      </c>
      <c r="L95" s="8" t="n">
        <v>1</v>
      </c>
      <c r="M95" s="7" t="s">
        <v>38</v>
      </c>
      <c r="N95" s="7" t="s">
        <v>39</v>
      </c>
      <c r="O95" s="7" t="s">
        <v>56</v>
      </c>
      <c r="P95" s="9"/>
      <c r="Q95" s="9"/>
      <c r="R95" s="7" t="str">
        <f aca="false">IF(P95="",N95,P95)</f>
        <v>entrada não gerada</v>
      </c>
      <c r="S95" s="7" t="str">
        <f aca="false">IF(P95="","",IF(P95=N95,"sim","não"))</f>
        <v/>
      </c>
      <c r="T95" s="10" t="s">
        <v>277</v>
      </c>
    </row>
    <row r="96" customFormat="false" ht="35.05" hidden="false" customHeight="false" outlineLevel="0" collapsed="false">
      <c r="A96" s="7" t="n">
        <v>94</v>
      </c>
      <c r="B96" s="7" t="s">
        <v>32</v>
      </c>
      <c r="C96" s="7" t="s">
        <v>33</v>
      </c>
      <c r="D96" s="7" t="s">
        <v>122</v>
      </c>
      <c r="E96" s="7" t="n">
        <v>180</v>
      </c>
      <c r="F96" s="7" t="s">
        <v>278</v>
      </c>
      <c r="G96" s="7" t="s">
        <v>273</v>
      </c>
      <c r="H96" s="7" t="s">
        <v>206</v>
      </c>
      <c r="I96" s="7" t="n">
        <v>89</v>
      </c>
      <c r="J96" s="8" t="n">
        <v>0.967</v>
      </c>
      <c r="K96" s="8" t="n">
        <v>1</v>
      </c>
      <c r="L96" s="8" t="n">
        <v>1</v>
      </c>
      <c r="M96" s="7" t="s">
        <v>38</v>
      </c>
      <c r="N96" s="7" t="s">
        <v>39</v>
      </c>
      <c r="O96" s="7" t="s">
        <v>56</v>
      </c>
      <c r="P96" s="9"/>
      <c r="Q96" s="9"/>
      <c r="R96" s="7" t="str">
        <f aca="false">IF(P96="",N96,P96)</f>
        <v>entrada não gerada</v>
      </c>
      <c r="S96" s="7" t="str">
        <f aca="false">IF(P96="","",IF(P96=N96,"sim","não"))</f>
        <v/>
      </c>
      <c r="T96" s="10" t="s">
        <v>279</v>
      </c>
    </row>
    <row r="97" customFormat="false" ht="35.05" hidden="false" customHeight="false" outlineLevel="0" collapsed="false">
      <c r="A97" s="7" t="n">
        <v>95</v>
      </c>
      <c r="B97" s="7" t="s">
        <v>32</v>
      </c>
      <c r="C97" s="7" t="s">
        <v>33</v>
      </c>
      <c r="D97" s="7" t="s">
        <v>122</v>
      </c>
      <c r="E97" s="7" t="n">
        <v>181</v>
      </c>
      <c r="F97" s="7" t="s">
        <v>204</v>
      </c>
      <c r="G97" s="7" t="s">
        <v>205</v>
      </c>
      <c r="H97" s="7" t="s">
        <v>206</v>
      </c>
      <c r="I97" s="7" t="n">
        <v>68</v>
      </c>
      <c r="J97" s="8" t="n">
        <v>0.267</v>
      </c>
      <c r="K97" s="8" t="n">
        <v>1</v>
      </c>
      <c r="L97" s="8" t="n">
        <v>1</v>
      </c>
      <c r="M97" s="7" t="s">
        <v>38</v>
      </c>
      <c r="N97" s="7" t="s">
        <v>39</v>
      </c>
      <c r="O97" s="7" t="s">
        <v>96</v>
      </c>
      <c r="P97" s="9"/>
      <c r="Q97" s="9"/>
      <c r="R97" s="7" t="str">
        <f aca="false">IF(P97="",N97,P97)</f>
        <v>entrada não gerada</v>
      </c>
      <c r="S97" s="7" t="str">
        <f aca="false">IF(P97="","",IF(P97=N97,"sim","não"))</f>
        <v/>
      </c>
      <c r="T97" s="10" t="s">
        <v>208</v>
      </c>
    </row>
    <row r="98" customFormat="false" ht="23.85" hidden="false" customHeight="false" outlineLevel="0" collapsed="false">
      <c r="A98" s="7" t="n">
        <v>96</v>
      </c>
      <c r="B98" s="7" t="s">
        <v>32</v>
      </c>
      <c r="C98" s="7" t="s">
        <v>33</v>
      </c>
      <c r="D98" s="7" t="s">
        <v>122</v>
      </c>
      <c r="E98" s="7" t="n">
        <v>198</v>
      </c>
      <c r="F98" s="7" t="s">
        <v>280</v>
      </c>
      <c r="G98" s="7" t="s">
        <v>73</v>
      </c>
      <c r="H98" s="7" t="s">
        <v>281</v>
      </c>
      <c r="I98" s="7" t="n">
        <v>89</v>
      </c>
      <c r="J98" s="8" t="n">
        <v>0.967</v>
      </c>
      <c r="K98" s="8" t="n">
        <v>1</v>
      </c>
      <c r="L98" s="8" t="n">
        <v>1</v>
      </c>
      <c r="M98" s="7" t="s">
        <v>38</v>
      </c>
      <c r="N98" s="7" t="s">
        <v>39</v>
      </c>
      <c r="O98" s="7" t="s">
        <v>56</v>
      </c>
      <c r="P98" s="9"/>
      <c r="Q98" s="9"/>
      <c r="R98" s="7" t="str">
        <f aca="false">IF(P98="",N98,P98)</f>
        <v>entrada não gerada</v>
      </c>
      <c r="S98" s="7" t="str">
        <f aca="false">IF(P98="","",IF(P98=N98,"sim","não"))</f>
        <v/>
      </c>
      <c r="T98" s="10" t="s">
        <v>282</v>
      </c>
    </row>
    <row r="99" customFormat="false" ht="23.85" hidden="false" customHeight="false" outlineLevel="0" collapsed="false">
      <c r="A99" s="7" t="n">
        <v>97</v>
      </c>
      <c r="B99" s="7" t="s">
        <v>32</v>
      </c>
      <c r="C99" s="7" t="s">
        <v>33</v>
      </c>
      <c r="D99" s="7" t="s">
        <v>122</v>
      </c>
      <c r="E99" s="7" t="n">
        <v>198</v>
      </c>
      <c r="F99" s="7" t="s">
        <v>280</v>
      </c>
      <c r="G99" s="7" t="s">
        <v>73</v>
      </c>
      <c r="H99" s="7" t="s">
        <v>281</v>
      </c>
      <c r="I99" s="7" t="n">
        <v>88</v>
      </c>
      <c r="J99" s="8" t="n">
        <v>0.933</v>
      </c>
      <c r="K99" s="8" t="n">
        <v>1</v>
      </c>
      <c r="L99" s="8" t="n">
        <v>1</v>
      </c>
      <c r="M99" s="7" t="s">
        <v>38</v>
      </c>
      <c r="N99" s="7" t="s">
        <v>39</v>
      </c>
      <c r="O99" s="7" t="s">
        <v>46</v>
      </c>
      <c r="P99" s="9"/>
      <c r="Q99" s="9"/>
      <c r="R99" s="7" t="str">
        <f aca="false">IF(P99="",N99,P99)</f>
        <v>entrada não gerada</v>
      </c>
      <c r="S99" s="7" t="str">
        <f aca="false">IF(P99="","",IF(P99=N99,"sim","não"))</f>
        <v/>
      </c>
      <c r="T99" s="10" t="s">
        <v>283</v>
      </c>
    </row>
    <row r="100" customFormat="false" ht="35.05" hidden="false" customHeight="false" outlineLevel="0" collapsed="false">
      <c r="A100" s="7" t="n">
        <v>98</v>
      </c>
      <c r="B100" s="7" t="s">
        <v>32</v>
      </c>
      <c r="C100" s="7" t="s">
        <v>33</v>
      </c>
      <c r="D100" s="7" t="s">
        <v>122</v>
      </c>
      <c r="E100" s="7" t="n">
        <v>27</v>
      </c>
      <c r="F100" s="7" t="s">
        <v>209</v>
      </c>
      <c r="G100" s="7" t="s">
        <v>139</v>
      </c>
      <c r="H100" s="7" t="s">
        <v>210</v>
      </c>
      <c r="I100" s="7" t="n">
        <v>0</v>
      </c>
      <c r="J100" s="8" t="n">
        <v>0</v>
      </c>
      <c r="K100" s="8" t="n">
        <v>0</v>
      </c>
      <c r="L100" s="8" t="n">
        <v>0</v>
      </c>
      <c r="M100" s="7" t="s">
        <v>211</v>
      </c>
      <c r="N100" s="7" t="s">
        <v>212</v>
      </c>
      <c r="O100" s="7" t="s">
        <v>213</v>
      </c>
      <c r="P100" s="9"/>
      <c r="Q100" s="9"/>
      <c r="R100" s="7" t="str">
        <f aca="false">IF(P100="",N100,P100)</f>
        <v>equivalente</v>
      </c>
      <c r="S100" s="7" t="str">
        <f aca="false">IF(P100="","",IF(P100=N100,"sim","não"))</f>
        <v/>
      </c>
      <c r="T100" s="10" t="s">
        <v>214</v>
      </c>
    </row>
    <row r="101" customFormat="false" ht="35.05" hidden="false" customHeight="false" outlineLevel="0" collapsed="false">
      <c r="A101" s="7" t="n">
        <v>99</v>
      </c>
      <c r="B101" s="7" t="s">
        <v>32</v>
      </c>
      <c r="C101" s="7" t="s">
        <v>33</v>
      </c>
      <c r="D101" s="7" t="s">
        <v>122</v>
      </c>
      <c r="E101" s="7" t="n">
        <v>152</v>
      </c>
      <c r="F101" s="7" t="s">
        <v>193</v>
      </c>
      <c r="G101" s="7" t="s">
        <v>73</v>
      </c>
      <c r="H101" s="7" t="s">
        <v>37</v>
      </c>
      <c r="I101" s="7" t="n">
        <v>0</v>
      </c>
      <c r="J101" s="8" t="n">
        <v>0</v>
      </c>
      <c r="K101" s="8" t="n">
        <v>0</v>
      </c>
      <c r="L101" s="8" t="n">
        <v>0</v>
      </c>
      <c r="M101" s="7" t="s">
        <v>211</v>
      </c>
      <c r="N101" s="7" t="s">
        <v>212</v>
      </c>
      <c r="O101" s="7" t="s">
        <v>215</v>
      </c>
      <c r="P101" s="9"/>
      <c r="Q101" s="9"/>
      <c r="R101" s="7" t="str">
        <f aca="false">IF(P101="",N101,P101)</f>
        <v>equivalente</v>
      </c>
      <c r="S101" s="7" t="str">
        <f aca="false">IF(P101="","",IF(P101=N101,"sim","não"))</f>
        <v/>
      </c>
      <c r="T101" s="10" t="s">
        <v>216</v>
      </c>
    </row>
    <row r="102" customFormat="false" ht="35.05" hidden="false" customHeight="false" outlineLevel="0" collapsed="false">
      <c r="A102" s="7" t="n">
        <v>100</v>
      </c>
      <c r="B102" s="7" t="s">
        <v>32</v>
      </c>
      <c r="C102" s="7" t="s">
        <v>33</v>
      </c>
      <c r="D102" s="7" t="s">
        <v>34</v>
      </c>
      <c r="E102" s="7" t="n">
        <v>23</v>
      </c>
      <c r="F102" s="7" t="s">
        <v>284</v>
      </c>
      <c r="G102" s="7" t="s">
        <v>285</v>
      </c>
      <c r="H102" s="7" t="s">
        <v>45</v>
      </c>
      <c r="I102" s="7" t="n">
        <v>0</v>
      </c>
      <c r="J102" s="8" t="n">
        <v>0</v>
      </c>
      <c r="K102" s="8" t="n">
        <v>0</v>
      </c>
      <c r="L102" s="8" t="n">
        <v>0</v>
      </c>
      <c r="M102" s="7" t="s">
        <v>38</v>
      </c>
      <c r="N102" s="7" t="s">
        <v>219</v>
      </c>
      <c r="O102" s="7" t="s">
        <v>286</v>
      </c>
      <c r="P102" s="9"/>
      <c r="Q102" s="9"/>
      <c r="R102" s="7" t="str">
        <f aca="false">IF(P102="",N102,P102)</f>
        <v>oráculo fraco</v>
      </c>
      <c r="S102" s="7" t="str">
        <f aca="false">IF(P102="","",IF(P102=N102,"sim","não"))</f>
        <v/>
      </c>
      <c r="T102" s="10" t="s">
        <v>287</v>
      </c>
    </row>
    <row r="103" customFormat="false" ht="35.05" hidden="false" customHeight="false" outlineLevel="0" collapsed="false">
      <c r="A103" s="7" t="n">
        <v>101</v>
      </c>
      <c r="B103" s="7" t="s">
        <v>32</v>
      </c>
      <c r="C103" s="7" t="s">
        <v>33</v>
      </c>
      <c r="D103" s="7" t="s">
        <v>34</v>
      </c>
      <c r="E103" s="7" t="n">
        <v>24</v>
      </c>
      <c r="F103" s="7" t="s">
        <v>288</v>
      </c>
      <c r="G103" s="7" t="s">
        <v>289</v>
      </c>
      <c r="H103" s="7" t="s">
        <v>45</v>
      </c>
      <c r="I103" s="7" t="n">
        <v>0</v>
      </c>
      <c r="J103" s="8" t="n">
        <v>0</v>
      </c>
      <c r="K103" s="8" t="n">
        <v>0</v>
      </c>
      <c r="L103" s="8" t="n">
        <v>0</v>
      </c>
      <c r="M103" s="7" t="s">
        <v>38</v>
      </c>
      <c r="N103" s="7" t="s">
        <v>219</v>
      </c>
      <c r="O103" s="7" t="s">
        <v>286</v>
      </c>
      <c r="P103" s="9"/>
      <c r="Q103" s="9"/>
      <c r="R103" s="7" t="str">
        <f aca="false">IF(P103="",N103,P103)</f>
        <v>oráculo fraco</v>
      </c>
      <c r="S103" s="7" t="str">
        <f aca="false">IF(P103="","",IF(P103=N103,"sim","não"))</f>
        <v/>
      </c>
      <c r="T103" s="10" t="s">
        <v>290</v>
      </c>
    </row>
    <row r="104" customFormat="false" ht="23.85" hidden="false" customHeight="false" outlineLevel="0" collapsed="false">
      <c r="A104" s="7" t="n">
        <v>102</v>
      </c>
      <c r="B104" s="7" t="s">
        <v>32</v>
      </c>
      <c r="C104" s="7" t="s">
        <v>33</v>
      </c>
      <c r="D104" s="7" t="s">
        <v>34</v>
      </c>
      <c r="E104" s="7" t="n">
        <v>48</v>
      </c>
      <c r="F104" s="7" t="s">
        <v>291</v>
      </c>
      <c r="G104" s="7" t="s">
        <v>79</v>
      </c>
      <c r="H104" s="7" t="s">
        <v>292</v>
      </c>
      <c r="I104" s="7" t="n">
        <v>0</v>
      </c>
      <c r="J104" s="8" t="n">
        <v>0</v>
      </c>
      <c r="K104" s="8" t="n">
        <v>0</v>
      </c>
      <c r="L104" s="8" t="n">
        <v>0</v>
      </c>
      <c r="M104" s="7" t="s">
        <v>38</v>
      </c>
      <c r="N104" s="7" t="s">
        <v>219</v>
      </c>
      <c r="O104" s="7" t="s">
        <v>293</v>
      </c>
      <c r="P104" s="9"/>
      <c r="Q104" s="9"/>
      <c r="R104" s="7" t="str">
        <f aca="false">IF(P104="",N104,P104)</f>
        <v>oráculo fraco</v>
      </c>
      <c r="S104" s="7" t="str">
        <f aca="false">IF(P104="","",IF(P104=N104,"sim","não"))</f>
        <v/>
      </c>
      <c r="T104" s="10" t="s">
        <v>294</v>
      </c>
    </row>
    <row r="105" customFormat="false" ht="35.05" hidden="false" customHeight="false" outlineLevel="0" collapsed="false">
      <c r="A105" s="7" t="n">
        <v>103</v>
      </c>
      <c r="B105" s="7" t="s">
        <v>32</v>
      </c>
      <c r="C105" s="7" t="s">
        <v>33</v>
      </c>
      <c r="D105" s="7" t="s">
        <v>34</v>
      </c>
      <c r="E105" s="7" t="n">
        <v>50</v>
      </c>
      <c r="F105" s="7" t="s">
        <v>295</v>
      </c>
      <c r="G105" s="7" t="s">
        <v>296</v>
      </c>
      <c r="H105" s="7" t="s">
        <v>292</v>
      </c>
      <c r="I105" s="7" t="n">
        <v>0</v>
      </c>
      <c r="J105" s="8" t="n">
        <v>0</v>
      </c>
      <c r="K105" s="8" t="n">
        <v>0</v>
      </c>
      <c r="L105" s="8" t="n">
        <v>0</v>
      </c>
      <c r="M105" s="7" t="s">
        <v>38</v>
      </c>
      <c r="N105" s="7" t="s">
        <v>219</v>
      </c>
      <c r="O105" s="7" t="s">
        <v>293</v>
      </c>
      <c r="P105" s="9"/>
      <c r="Q105" s="9"/>
      <c r="R105" s="7" t="str">
        <f aca="false">IF(P105="",N105,P105)</f>
        <v>oráculo fraco</v>
      </c>
      <c r="S105" s="7" t="str">
        <f aca="false">IF(P105="","",IF(P105=N105,"sim","não"))</f>
        <v/>
      </c>
      <c r="T105" s="10" t="s">
        <v>297</v>
      </c>
    </row>
    <row r="106" customFormat="false" ht="23.85" hidden="false" customHeight="false" outlineLevel="0" collapsed="false">
      <c r="A106" s="7" t="n">
        <v>104</v>
      </c>
      <c r="B106" s="7" t="s">
        <v>32</v>
      </c>
      <c r="C106" s="7" t="s">
        <v>33</v>
      </c>
      <c r="D106" s="7" t="s">
        <v>34</v>
      </c>
      <c r="E106" s="7" t="n">
        <v>55</v>
      </c>
      <c r="F106" s="7" t="s">
        <v>48</v>
      </c>
      <c r="G106" s="7" t="s">
        <v>49</v>
      </c>
      <c r="H106" s="7" t="s">
        <v>37</v>
      </c>
      <c r="I106" s="7" t="n">
        <v>0</v>
      </c>
      <c r="J106" s="8" t="n">
        <v>0</v>
      </c>
      <c r="K106" s="8" t="n">
        <v>0</v>
      </c>
      <c r="L106" s="8" t="n">
        <v>0</v>
      </c>
      <c r="M106" s="7" t="s">
        <v>38</v>
      </c>
      <c r="N106" s="7" t="s">
        <v>219</v>
      </c>
      <c r="O106" s="7" t="s">
        <v>298</v>
      </c>
      <c r="P106" s="9"/>
      <c r="Q106" s="9"/>
      <c r="R106" s="7" t="str">
        <f aca="false">IF(P106="",N106,P106)</f>
        <v>oráculo fraco</v>
      </c>
      <c r="S106" s="7" t="str">
        <f aca="false">IF(P106="","",IF(P106=N106,"sim","não"))</f>
        <v/>
      </c>
      <c r="T106" s="10" t="s">
        <v>51</v>
      </c>
    </row>
    <row r="107" customFormat="false" ht="23.85" hidden="false" customHeight="false" outlineLevel="0" collapsed="false">
      <c r="A107" s="7" t="n">
        <v>105</v>
      </c>
      <c r="B107" s="7" t="s">
        <v>32</v>
      </c>
      <c r="C107" s="7" t="s">
        <v>33</v>
      </c>
      <c r="D107" s="7" t="s">
        <v>34</v>
      </c>
      <c r="E107" s="7" t="n">
        <v>58</v>
      </c>
      <c r="F107" s="7" t="s">
        <v>52</v>
      </c>
      <c r="G107" s="7" t="s">
        <v>36</v>
      </c>
      <c r="H107" s="7" t="s">
        <v>37</v>
      </c>
      <c r="I107" s="7" t="n">
        <v>0</v>
      </c>
      <c r="J107" s="8" t="n">
        <v>0</v>
      </c>
      <c r="K107" s="8" t="n">
        <v>0</v>
      </c>
      <c r="L107" s="8" t="n">
        <v>0</v>
      </c>
      <c r="M107" s="7" t="s">
        <v>38</v>
      </c>
      <c r="N107" s="7" t="s">
        <v>219</v>
      </c>
      <c r="O107" s="7" t="s">
        <v>298</v>
      </c>
      <c r="P107" s="9"/>
      <c r="Q107" s="9"/>
      <c r="R107" s="7" t="str">
        <f aca="false">IF(P107="",N107,P107)</f>
        <v>oráculo fraco</v>
      </c>
      <c r="S107" s="7" t="str">
        <f aca="false">IF(P107="","",IF(P107=N107,"sim","não"))</f>
        <v/>
      </c>
      <c r="T107" s="10" t="s">
        <v>54</v>
      </c>
    </row>
    <row r="108" customFormat="false" ht="23.85" hidden="false" customHeight="false" outlineLevel="0" collapsed="false">
      <c r="A108" s="7" t="n">
        <v>106</v>
      </c>
      <c r="B108" s="7" t="s">
        <v>32</v>
      </c>
      <c r="C108" s="7" t="s">
        <v>33</v>
      </c>
      <c r="D108" s="7" t="s">
        <v>34</v>
      </c>
      <c r="E108" s="7" t="n">
        <v>58</v>
      </c>
      <c r="F108" s="7" t="s">
        <v>52</v>
      </c>
      <c r="G108" s="7" t="s">
        <v>58</v>
      </c>
      <c r="H108" s="7" t="s">
        <v>37</v>
      </c>
      <c r="I108" s="7" t="n">
        <v>0</v>
      </c>
      <c r="J108" s="8" t="n">
        <v>0</v>
      </c>
      <c r="K108" s="8" t="n">
        <v>0</v>
      </c>
      <c r="L108" s="8" t="n">
        <v>0</v>
      </c>
      <c r="M108" s="7" t="s">
        <v>38</v>
      </c>
      <c r="N108" s="7" t="s">
        <v>219</v>
      </c>
      <c r="O108" s="7" t="s">
        <v>298</v>
      </c>
      <c r="P108" s="9"/>
      <c r="Q108" s="9"/>
      <c r="R108" s="7" t="str">
        <f aca="false">IF(P108="",N108,P108)</f>
        <v>oráculo fraco</v>
      </c>
      <c r="S108" s="7" t="str">
        <f aca="false">IF(P108="","",IF(P108=N108,"sim","não"))</f>
        <v/>
      </c>
      <c r="T108" s="10" t="s">
        <v>60</v>
      </c>
    </row>
    <row r="109" customFormat="false" ht="23.85" hidden="false" customHeight="false" outlineLevel="0" collapsed="false">
      <c r="A109" s="7" t="n">
        <v>107</v>
      </c>
      <c r="B109" s="7" t="s">
        <v>32</v>
      </c>
      <c r="C109" s="7" t="s">
        <v>33</v>
      </c>
      <c r="D109" s="7" t="s">
        <v>34</v>
      </c>
      <c r="E109" s="7" t="n">
        <v>61</v>
      </c>
      <c r="F109" s="7" t="s">
        <v>35</v>
      </c>
      <c r="G109" s="7" t="s">
        <v>36</v>
      </c>
      <c r="H109" s="7" t="s">
        <v>37</v>
      </c>
      <c r="I109" s="7" t="n">
        <v>0</v>
      </c>
      <c r="J109" s="8" t="n">
        <v>0</v>
      </c>
      <c r="K109" s="8" t="n">
        <v>0</v>
      </c>
      <c r="L109" s="8" t="n">
        <v>0</v>
      </c>
      <c r="M109" s="7" t="s">
        <v>38</v>
      </c>
      <c r="N109" s="7" t="s">
        <v>219</v>
      </c>
      <c r="O109" s="7" t="s">
        <v>298</v>
      </c>
      <c r="P109" s="9"/>
      <c r="Q109" s="9"/>
      <c r="R109" s="7" t="str">
        <f aca="false">IF(P109="",N109,P109)</f>
        <v>oráculo fraco</v>
      </c>
      <c r="S109" s="7" t="str">
        <f aca="false">IF(P109="","",IF(P109=N109,"sim","não"))</f>
        <v/>
      </c>
      <c r="T109" s="10" t="s">
        <v>62</v>
      </c>
    </row>
    <row r="110" customFormat="false" ht="23.85" hidden="false" customHeight="false" outlineLevel="0" collapsed="false">
      <c r="A110" s="7" t="n">
        <v>108</v>
      </c>
      <c r="B110" s="7" t="s">
        <v>32</v>
      </c>
      <c r="C110" s="7" t="s">
        <v>33</v>
      </c>
      <c r="D110" s="7" t="s">
        <v>34</v>
      </c>
      <c r="E110" s="7" t="n">
        <v>61</v>
      </c>
      <c r="F110" s="7" t="s">
        <v>35</v>
      </c>
      <c r="G110" s="7" t="s">
        <v>58</v>
      </c>
      <c r="H110" s="7" t="s">
        <v>37</v>
      </c>
      <c r="I110" s="7" t="n">
        <v>0</v>
      </c>
      <c r="J110" s="8" t="n">
        <v>0</v>
      </c>
      <c r="K110" s="8" t="n">
        <v>0</v>
      </c>
      <c r="L110" s="8" t="n">
        <v>0</v>
      </c>
      <c r="M110" s="7" t="s">
        <v>38</v>
      </c>
      <c r="N110" s="7" t="s">
        <v>219</v>
      </c>
      <c r="O110" s="7" t="s">
        <v>298</v>
      </c>
      <c r="P110" s="9"/>
      <c r="Q110" s="9"/>
      <c r="R110" s="7" t="str">
        <f aca="false">IF(P110="",N110,P110)</f>
        <v>oráculo fraco</v>
      </c>
      <c r="S110" s="7" t="str">
        <f aca="false">IF(P110="","",IF(P110=N110,"sim","não"))</f>
        <v/>
      </c>
      <c r="T110" s="10" t="s">
        <v>68</v>
      </c>
    </row>
    <row r="111" customFormat="false" ht="23.85" hidden="false" customHeight="false" outlineLevel="0" collapsed="false">
      <c r="A111" s="7" t="n">
        <v>109</v>
      </c>
      <c r="B111" s="7" t="s">
        <v>32</v>
      </c>
      <c r="C111" s="7" t="s">
        <v>33</v>
      </c>
      <c r="D111" s="7" t="s">
        <v>34</v>
      </c>
      <c r="E111" s="7" t="n">
        <v>65</v>
      </c>
      <c r="F111" s="7" t="s">
        <v>69</v>
      </c>
      <c r="G111" s="7" t="s">
        <v>63</v>
      </c>
      <c r="H111" s="7" t="s">
        <v>70</v>
      </c>
      <c r="I111" s="7" t="n">
        <v>0</v>
      </c>
      <c r="J111" s="8" t="n">
        <v>0</v>
      </c>
      <c r="K111" s="8" t="n">
        <v>0</v>
      </c>
      <c r="L111" s="8" t="n">
        <v>0</v>
      </c>
      <c r="M111" s="7" t="s">
        <v>38</v>
      </c>
      <c r="N111" s="7" t="s">
        <v>219</v>
      </c>
      <c r="O111" s="7" t="s">
        <v>299</v>
      </c>
      <c r="P111" s="9"/>
      <c r="Q111" s="9"/>
      <c r="R111" s="7" t="str">
        <f aca="false">IF(P111="",N111,P111)</f>
        <v>oráculo fraco</v>
      </c>
      <c r="S111" s="7" t="str">
        <f aca="false">IF(P111="","",IF(P111=N111,"sim","não"))</f>
        <v/>
      </c>
      <c r="T111" s="10" t="s">
        <v>72</v>
      </c>
    </row>
    <row r="112" customFormat="false" ht="23.85" hidden="false" customHeight="false" outlineLevel="0" collapsed="false">
      <c r="A112" s="7" t="n">
        <v>110</v>
      </c>
      <c r="B112" s="7" t="s">
        <v>32</v>
      </c>
      <c r="C112" s="7" t="s">
        <v>33</v>
      </c>
      <c r="D112" s="7" t="s">
        <v>34</v>
      </c>
      <c r="E112" s="7" t="n">
        <v>65</v>
      </c>
      <c r="F112" s="7" t="s">
        <v>69</v>
      </c>
      <c r="G112" s="7" t="s">
        <v>73</v>
      </c>
      <c r="H112" s="7" t="s">
        <v>70</v>
      </c>
      <c r="I112" s="7" t="n">
        <v>0</v>
      </c>
      <c r="J112" s="8" t="n">
        <v>0</v>
      </c>
      <c r="K112" s="8" t="n">
        <v>0</v>
      </c>
      <c r="L112" s="8" t="n">
        <v>0</v>
      </c>
      <c r="M112" s="7" t="s">
        <v>38</v>
      </c>
      <c r="N112" s="7" t="s">
        <v>219</v>
      </c>
      <c r="O112" s="7" t="s">
        <v>299</v>
      </c>
      <c r="P112" s="9"/>
      <c r="Q112" s="9"/>
      <c r="R112" s="7" t="str">
        <f aca="false">IF(P112="",N112,P112)</f>
        <v>oráculo fraco</v>
      </c>
      <c r="S112" s="7" t="str">
        <f aca="false">IF(P112="","",IF(P112=N112,"sim","não"))</f>
        <v/>
      </c>
      <c r="T112" s="10" t="s">
        <v>75</v>
      </c>
    </row>
    <row r="113" customFormat="false" ht="23.85" hidden="false" customHeight="false" outlineLevel="0" collapsed="false">
      <c r="A113" s="7" t="n">
        <v>111</v>
      </c>
      <c r="B113" s="7" t="s">
        <v>32</v>
      </c>
      <c r="C113" s="7" t="s">
        <v>33</v>
      </c>
      <c r="D113" s="7" t="s">
        <v>34</v>
      </c>
      <c r="E113" s="7" t="n">
        <v>65</v>
      </c>
      <c r="F113" s="7" t="s">
        <v>69</v>
      </c>
      <c r="G113" s="7" t="s">
        <v>49</v>
      </c>
      <c r="H113" s="7" t="s">
        <v>70</v>
      </c>
      <c r="I113" s="7" t="n">
        <v>0</v>
      </c>
      <c r="J113" s="8" t="n">
        <v>0</v>
      </c>
      <c r="K113" s="8" t="n">
        <v>0</v>
      </c>
      <c r="L113" s="8" t="n">
        <v>0</v>
      </c>
      <c r="M113" s="7" t="s">
        <v>38</v>
      </c>
      <c r="N113" s="7" t="s">
        <v>219</v>
      </c>
      <c r="O113" s="7" t="s">
        <v>299</v>
      </c>
      <c r="P113" s="9"/>
      <c r="Q113" s="9"/>
      <c r="R113" s="7" t="str">
        <f aca="false">IF(P113="",N113,P113)</f>
        <v>oráculo fraco</v>
      </c>
      <c r="S113" s="7" t="str">
        <f aca="false">IF(P113="","",IF(P113=N113,"sim","não"))</f>
        <v/>
      </c>
      <c r="T113" s="10" t="s">
        <v>77</v>
      </c>
    </row>
    <row r="114" customFormat="false" ht="23.85" hidden="false" customHeight="false" outlineLevel="0" collapsed="false">
      <c r="A114" s="7" t="n">
        <v>112</v>
      </c>
      <c r="B114" s="7" t="s">
        <v>32</v>
      </c>
      <c r="C114" s="7" t="s">
        <v>33</v>
      </c>
      <c r="D114" s="7" t="s">
        <v>34</v>
      </c>
      <c r="E114" s="7" t="n">
        <v>66</v>
      </c>
      <c r="F114" s="7" t="s">
        <v>78</v>
      </c>
      <c r="G114" s="7" t="s">
        <v>79</v>
      </c>
      <c r="H114" s="7" t="s">
        <v>70</v>
      </c>
      <c r="I114" s="7" t="n">
        <v>0</v>
      </c>
      <c r="J114" s="8" t="n">
        <v>0</v>
      </c>
      <c r="K114" s="8" t="n">
        <v>0</v>
      </c>
      <c r="L114" s="8" t="n">
        <v>0</v>
      </c>
      <c r="M114" s="7" t="s">
        <v>38</v>
      </c>
      <c r="N114" s="7" t="s">
        <v>219</v>
      </c>
      <c r="O114" s="7" t="s">
        <v>299</v>
      </c>
      <c r="P114" s="9"/>
      <c r="Q114" s="9"/>
      <c r="R114" s="7" t="str">
        <f aca="false">IF(P114="",N114,P114)</f>
        <v>oráculo fraco</v>
      </c>
      <c r="S114" s="7" t="str">
        <f aca="false">IF(P114="","",IF(P114=N114,"sim","não"))</f>
        <v/>
      </c>
      <c r="T114" s="10" t="s">
        <v>80</v>
      </c>
    </row>
    <row r="115" customFormat="false" ht="23.85" hidden="false" customHeight="false" outlineLevel="0" collapsed="false">
      <c r="A115" s="7" t="n">
        <v>113</v>
      </c>
      <c r="B115" s="7" t="s">
        <v>32</v>
      </c>
      <c r="C115" s="7" t="s">
        <v>33</v>
      </c>
      <c r="D115" s="7" t="s">
        <v>34</v>
      </c>
      <c r="E115" s="7" t="n">
        <v>66</v>
      </c>
      <c r="F115" s="7" t="s">
        <v>78</v>
      </c>
      <c r="G115" s="7" t="s">
        <v>81</v>
      </c>
      <c r="H115" s="7" t="s">
        <v>70</v>
      </c>
      <c r="I115" s="7" t="n">
        <v>0</v>
      </c>
      <c r="J115" s="8" t="n">
        <v>0</v>
      </c>
      <c r="K115" s="8" t="n">
        <v>0</v>
      </c>
      <c r="L115" s="8" t="n">
        <v>0</v>
      </c>
      <c r="M115" s="7" t="s">
        <v>38</v>
      </c>
      <c r="N115" s="7" t="s">
        <v>219</v>
      </c>
      <c r="O115" s="7" t="s">
        <v>299</v>
      </c>
      <c r="P115" s="9"/>
      <c r="Q115" s="9"/>
      <c r="R115" s="7" t="str">
        <f aca="false">IF(P115="",N115,P115)</f>
        <v>oráculo fraco</v>
      </c>
      <c r="S115" s="7" t="str">
        <f aca="false">IF(P115="","",IF(P115=N115,"sim","não"))</f>
        <v/>
      </c>
      <c r="T115" s="10" t="s">
        <v>83</v>
      </c>
    </row>
    <row r="116" customFormat="false" ht="23.85" hidden="false" customHeight="false" outlineLevel="0" collapsed="false">
      <c r="A116" s="7" t="n">
        <v>114</v>
      </c>
      <c r="B116" s="7" t="s">
        <v>32</v>
      </c>
      <c r="C116" s="7" t="s">
        <v>33</v>
      </c>
      <c r="D116" s="7" t="s">
        <v>34</v>
      </c>
      <c r="E116" s="7" t="n">
        <v>70</v>
      </c>
      <c r="F116" s="7" t="s">
        <v>84</v>
      </c>
      <c r="G116" s="7" t="s">
        <v>73</v>
      </c>
      <c r="H116" s="7" t="s">
        <v>70</v>
      </c>
      <c r="I116" s="7" t="n">
        <v>0</v>
      </c>
      <c r="J116" s="8" t="n">
        <v>0</v>
      </c>
      <c r="K116" s="8" t="n">
        <v>0</v>
      </c>
      <c r="L116" s="8" t="n">
        <v>0</v>
      </c>
      <c r="M116" s="7" t="s">
        <v>38</v>
      </c>
      <c r="N116" s="7" t="s">
        <v>219</v>
      </c>
      <c r="O116" s="7" t="s">
        <v>299</v>
      </c>
      <c r="P116" s="9"/>
      <c r="Q116" s="9"/>
      <c r="R116" s="7" t="str">
        <f aca="false">IF(P116="",N116,P116)</f>
        <v>oráculo fraco</v>
      </c>
      <c r="S116" s="7" t="str">
        <f aca="false">IF(P116="","",IF(P116=N116,"sim","não"))</f>
        <v/>
      </c>
      <c r="T116" s="10" t="s">
        <v>87</v>
      </c>
    </row>
    <row r="117" customFormat="false" ht="35.05" hidden="false" customHeight="false" outlineLevel="0" collapsed="false">
      <c r="A117" s="7" t="n">
        <v>115</v>
      </c>
      <c r="B117" s="7" t="s">
        <v>32</v>
      </c>
      <c r="C117" s="7" t="s">
        <v>33</v>
      </c>
      <c r="D117" s="7" t="s">
        <v>34</v>
      </c>
      <c r="E117" s="7" t="n">
        <v>73</v>
      </c>
      <c r="F117" s="7" t="s">
        <v>88</v>
      </c>
      <c r="G117" s="7" t="s">
        <v>89</v>
      </c>
      <c r="H117" s="7" t="s">
        <v>45</v>
      </c>
      <c r="I117" s="7" t="n">
        <v>0</v>
      </c>
      <c r="J117" s="8" t="n">
        <v>0</v>
      </c>
      <c r="K117" s="8" t="n">
        <v>0</v>
      </c>
      <c r="L117" s="8" t="n">
        <v>0</v>
      </c>
      <c r="M117" s="7" t="s">
        <v>38</v>
      </c>
      <c r="N117" s="7" t="s">
        <v>219</v>
      </c>
      <c r="O117" s="7" t="s">
        <v>286</v>
      </c>
      <c r="P117" s="9"/>
      <c r="Q117" s="9"/>
      <c r="R117" s="7" t="str">
        <f aca="false">IF(P117="",N117,P117)</f>
        <v>oráculo fraco</v>
      </c>
      <c r="S117" s="7" t="str">
        <f aca="false">IF(P117="","",IF(P117=N117,"sim","não"))</f>
        <v/>
      </c>
      <c r="T117" s="10" t="s">
        <v>91</v>
      </c>
    </row>
    <row r="118" customFormat="false" ht="35.05" hidden="false" customHeight="false" outlineLevel="0" collapsed="false">
      <c r="A118" s="7" t="n">
        <v>116</v>
      </c>
      <c r="B118" s="7" t="s">
        <v>32</v>
      </c>
      <c r="C118" s="7" t="s">
        <v>33</v>
      </c>
      <c r="D118" s="7" t="s">
        <v>226</v>
      </c>
      <c r="E118" s="7" t="n">
        <v>24</v>
      </c>
      <c r="F118" s="7" t="s">
        <v>118</v>
      </c>
      <c r="G118" s="7" t="s">
        <v>227</v>
      </c>
      <c r="H118" s="7" t="s">
        <v>228</v>
      </c>
      <c r="I118" s="7" t="n">
        <v>0</v>
      </c>
      <c r="J118" s="8" t="n">
        <v>0</v>
      </c>
      <c r="K118" s="8" t="n">
        <v>0</v>
      </c>
      <c r="L118" s="8" t="n">
        <v>0</v>
      </c>
      <c r="M118" s="7" t="s">
        <v>211</v>
      </c>
      <c r="N118" s="7" t="s">
        <v>219</v>
      </c>
      <c r="O118" s="7" t="s">
        <v>229</v>
      </c>
      <c r="P118" s="9"/>
      <c r="Q118" s="9"/>
      <c r="R118" s="7" t="str">
        <f aca="false">IF(P118="",N118,P118)</f>
        <v>oráculo fraco</v>
      </c>
      <c r="S118" s="7" t="str">
        <f aca="false">IF(P118="","",IF(P118=N118,"sim","não"))</f>
        <v/>
      </c>
      <c r="T118" s="10" t="s">
        <v>230</v>
      </c>
    </row>
    <row r="119" customFormat="false" ht="35.05" hidden="false" customHeight="false" outlineLevel="0" collapsed="false">
      <c r="A119" s="7" t="n">
        <v>117</v>
      </c>
      <c r="B119" s="7" t="s">
        <v>32</v>
      </c>
      <c r="C119" s="7" t="s">
        <v>33</v>
      </c>
      <c r="D119" s="7" t="s">
        <v>226</v>
      </c>
      <c r="E119" s="7" t="n">
        <v>25</v>
      </c>
      <c r="F119" s="7" t="s">
        <v>284</v>
      </c>
      <c r="G119" s="7" t="s">
        <v>300</v>
      </c>
      <c r="H119" s="7" t="s">
        <v>228</v>
      </c>
      <c r="I119" s="7" t="n">
        <v>0</v>
      </c>
      <c r="J119" s="8" t="n">
        <v>0</v>
      </c>
      <c r="K119" s="8" t="n">
        <v>0</v>
      </c>
      <c r="L119" s="8" t="n">
        <v>0</v>
      </c>
      <c r="M119" s="7" t="s">
        <v>38</v>
      </c>
      <c r="N119" s="7" t="s">
        <v>219</v>
      </c>
      <c r="O119" s="7" t="s">
        <v>301</v>
      </c>
      <c r="P119" s="9"/>
      <c r="Q119" s="9"/>
      <c r="R119" s="7" t="str">
        <f aca="false">IF(P119="",N119,P119)</f>
        <v>oráculo fraco</v>
      </c>
      <c r="S119" s="7" t="str">
        <f aca="false">IF(P119="","",IF(P119=N119,"sim","não"))</f>
        <v/>
      </c>
      <c r="T119" s="10" t="s">
        <v>302</v>
      </c>
    </row>
    <row r="120" customFormat="false" ht="23.85" hidden="false" customHeight="false" outlineLevel="0" collapsed="false">
      <c r="A120" s="7" t="n">
        <v>118</v>
      </c>
      <c r="B120" s="7" t="s">
        <v>32</v>
      </c>
      <c r="C120" s="7" t="s">
        <v>33</v>
      </c>
      <c r="D120" s="7" t="s">
        <v>122</v>
      </c>
      <c r="E120" s="7" t="n">
        <v>152</v>
      </c>
      <c r="F120" s="7" t="s">
        <v>193</v>
      </c>
      <c r="G120" s="7" t="s">
        <v>63</v>
      </c>
      <c r="H120" s="7" t="s">
        <v>37</v>
      </c>
      <c r="I120" s="7" t="n">
        <v>0</v>
      </c>
      <c r="J120" s="8" t="n">
        <v>0</v>
      </c>
      <c r="K120" s="8" t="n">
        <v>0</v>
      </c>
      <c r="L120" s="8" t="n">
        <v>0</v>
      </c>
      <c r="M120" s="7" t="s">
        <v>38</v>
      </c>
      <c r="N120" s="7" t="s">
        <v>219</v>
      </c>
      <c r="O120" s="7" t="s">
        <v>298</v>
      </c>
      <c r="P120" s="9"/>
      <c r="Q120" s="9"/>
      <c r="R120" s="7" t="str">
        <f aca="false">IF(P120="",N120,P120)</f>
        <v>oráculo fraco</v>
      </c>
      <c r="S120" s="7" t="str">
        <f aca="false">IF(P120="","",IF(P120=N120,"sim","não"))</f>
        <v/>
      </c>
      <c r="T120" s="10" t="s">
        <v>195</v>
      </c>
    </row>
    <row r="121" customFormat="false" ht="23.85" hidden="false" customHeight="false" outlineLevel="0" collapsed="false">
      <c r="A121" s="7" t="n">
        <v>119</v>
      </c>
      <c r="B121" s="7" t="s">
        <v>32</v>
      </c>
      <c r="C121" s="7" t="s">
        <v>33</v>
      </c>
      <c r="D121" s="7" t="s">
        <v>122</v>
      </c>
      <c r="E121" s="7" t="n">
        <v>152</v>
      </c>
      <c r="F121" s="7" t="s">
        <v>193</v>
      </c>
      <c r="G121" s="7" t="s">
        <v>49</v>
      </c>
      <c r="H121" s="7" t="s">
        <v>37</v>
      </c>
      <c r="I121" s="7" t="n">
        <v>0</v>
      </c>
      <c r="J121" s="8" t="n">
        <v>0</v>
      </c>
      <c r="K121" s="8" t="n">
        <v>0</v>
      </c>
      <c r="L121" s="8" t="n">
        <v>0</v>
      </c>
      <c r="M121" s="7" t="s">
        <v>38</v>
      </c>
      <c r="N121" s="7" t="s">
        <v>219</v>
      </c>
      <c r="O121" s="7" t="s">
        <v>298</v>
      </c>
      <c r="P121" s="9"/>
      <c r="Q121" s="9"/>
      <c r="R121" s="7" t="str">
        <f aca="false">IF(P121="",N121,P121)</f>
        <v>oráculo fraco</v>
      </c>
      <c r="S121" s="7" t="str">
        <f aca="false">IF(P121="","",IF(P121=N121,"sim","não"))</f>
        <v/>
      </c>
      <c r="T121" s="10" t="s">
        <v>196</v>
      </c>
    </row>
    <row r="122" customFormat="false" ht="35.05" hidden="false" customHeight="false" outlineLevel="0" collapsed="false">
      <c r="A122" s="7" t="n">
        <v>120</v>
      </c>
      <c r="B122" s="7" t="s">
        <v>32</v>
      </c>
      <c r="C122" s="7" t="s">
        <v>33</v>
      </c>
      <c r="D122" s="7" t="s">
        <v>122</v>
      </c>
      <c r="E122" s="7" t="n">
        <v>163</v>
      </c>
      <c r="F122" s="7" t="s">
        <v>184</v>
      </c>
      <c r="G122" s="7" t="s">
        <v>181</v>
      </c>
      <c r="H122" s="7" t="s">
        <v>200</v>
      </c>
      <c r="I122" s="7" t="n">
        <v>0</v>
      </c>
      <c r="J122" s="8" t="n">
        <v>0</v>
      </c>
      <c r="K122" s="8" t="n">
        <v>0</v>
      </c>
      <c r="L122" s="8" t="n">
        <v>0</v>
      </c>
      <c r="M122" s="7" t="s">
        <v>38</v>
      </c>
      <c r="N122" s="7" t="s">
        <v>219</v>
      </c>
      <c r="O122" s="7" t="s">
        <v>303</v>
      </c>
      <c r="P122" s="9"/>
      <c r="Q122" s="9"/>
      <c r="R122" s="7" t="str">
        <f aca="false">IF(P122="",N122,P122)</f>
        <v>oráculo fraco</v>
      </c>
      <c r="S122" s="7" t="str">
        <f aca="false">IF(P122="","",IF(P122=N122,"sim","não"))</f>
        <v/>
      </c>
      <c r="T122" s="10" t="s">
        <v>201</v>
      </c>
    </row>
    <row r="123" customFormat="false" ht="35.05" hidden="false" customHeight="false" outlineLevel="0" collapsed="false">
      <c r="A123" s="7" t="n">
        <v>121</v>
      </c>
      <c r="B123" s="7" t="s">
        <v>32</v>
      </c>
      <c r="C123" s="7" t="s">
        <v>33</v>
      </c>
      <c r="D123" s="7" t="s">
        <v>122</v>
      </c>
      <c r="E123" s="7" t="n">
        <v>166</v>
      </c>
      <c r="F123" s="7" t="s">
        <v>202</v>
      </c>
      <c r="G123" s="7" t="s">
        <v>36</v>
      </c>
      <c r="H123" s="7" t="s">
        <v>200</v>
      </c>
      <c r="I123" s="7" t="n">
        <v>0</v>
      </c>
      <c r="J123" s="8" t="n">
        <v>0</v>
      </c>
      <c r="K123" s="8" t="n">
        <v>0</v>
      </c>
      <c r="L123" s="8" t="n">
        <v>0</v>
      </c>
      <c r="M123" s="7" t="s">
        <v>38</v>
      </c>
      <c r="N123" s="7" t="s">
        <v>219</v>
      </c>
      <c r="O123" s="7" t="s">
        <v>303</v>
      </c>
      <c r="P123" s="9"/>
      <c r="Q123" s="9"/>
      <c r="R123" s="7" t="str">
        <f aca="false">IF(P123="",N123,P123)</f>
        <v>oráculo fraco</v>
      </c>
      <c r="S123" s="7" t="str">
        <f aca="false">IF(P123="","",IF(P123=N123,"sim","não"))</f>
        <v/>
      </c>
      <c r="T123" s="10" t="s">
        <v>203</v>
      </c>
    </row>
    <row r="124" customFormat="false" ht="46.25" hidden="false" customHeight="false" outlineLevel="0" collapsed="false">
      <c r="A124" s="7" t="n">
        <v>122</v>
      </c>
      <c r="B124" s="7" t="s">
        <v>32</v>
      </c>
      <c r="C124" s="7" t="s">
        <v>33</v>
      </c>
      <c r="D124" s="7" t="s">
        <v>122</v>
      </c>
      <c r="E124" s="7" t="n">
        <v>174</v>
      </c>
      <c r="F124" s="7" t="s">
        <v>236</v>
      </c>
      <c r="G124" s="7" t="s">
        <v>242</v>
      </c>
      <c r="H124" s="7" t="s">
        <v>206</v>
      </c>
      <c r="I124" s="7" t="n">
        <v>0</v>
      </c>
      <c r="J124" s="8" t="n">
        <v>0</v>
      </c>
      <c r="K124" s="8" t="n">
        <v>0</v>
      </c>
      <c r="L124" s="8" t="n">
        <v>0</v>
      </c>
      <c r="M124" s="7" t="s">
        <v>211</v>
      </c>
      <c r="N124" s="7" t="s">
        <v>219</v>
      </c>
      <c r="O124" s="7" t="s">
        <v>234</v>
      </c>
      <c r="P124" s="9"/>
      <c r="Q124" s="9"/>
      <c r="R124" s="7" t="str">
        <f aca="false">IF(P124="",N124,P124)</f>
        <v>oráculo fraco</v>
      </c>
      <c r="S124" s="7" t="str">
        <f aca="false">IF(P124="","",IF(P124=N124,"sim","não"))</f>
        <v/>
      </c>
      <c r="T124" s="10" t="s">
        <v>243</v>
      </c>
    </row>
    <row r="125" customFormat="false" ht="46.25" hidden="false" customHeight="false" outlineLevel="0" collapsed="false">
      <c r="A125" s="7" t="n">
        <v>123</v>
      </c>
      <c r="B125" s="7" t="s">
        <v>32</v>
      </c>
      <c r="C125" s="7" t="s">
        <v>33</v>
      </c>
      <c r="D125" s="7" t="s">
        <v>122</v>
      </c>
      <c r="E125" s="7" t="n">
        <v>182</v>
      </c>
      <c r="F125" s="7" t="s">
        <v>236</v>
      </c>
      <c r="G125" s="7" t="s">
        <v>244</v>
      </c>
      <c r="H125" s="7" t="s">
        <v>206</v>
      </c>
      <c r="I125" s="7" t="n">
        <v>0</v>
      </c>
      <c r="J125" s="8" t="n">
        <v>0</v>
      </c>
      <c r="K125" s="8" t="n">
        <v>0</v>
      </c>
      <c r="L125" s="8" t="n">
        <v>0</v>
      </c>
      <c r="M125" s="7" t="s">
        <v>211</v>
      </c>
      <c r="N125" s="7" t="s">
        <v>219</v>
      </c>
      <c r="O125" s="7" t="s">
        <v>234</v>
      </c>
      <c r="P125" s="9"/>
      <c r="Q125" s="9"/>
      <c r="R125" s="7" t="str">
        <f aca="false">IF(P125="",N125,P125)</f>
        <v>oráculo fraco</v>
      </c>
      <c r="S125" s="7" t="str">
        <f aca="false">IF(P125="","",IF(P125=N125,"sim","não"))</f>
        <v/>
      </c>
      <c r="T125" s="10" t="s">
        <v>245</v>
      </c>
    </row>
    <row r="126" customFormat="false" ht="46.25" hidden="false" customHeight="false" outlineLevel="0" collapsed="false">
      <c r="A126" s="7" t="n">
        <v>124</v>
      </c>
      <c r="B126" s="7" t="s">
        <v>32</v>
      </c>
      <c r="C126" s="7" t="s">
        <v>33</v>
      </c>
      <c r="D126" s="7" t="s">
        <v>122</v>
      </c>
      <c r="E126" s="7" t="n">
        <v>187</v>
      </c>
      <c r="F126" s="7" t="s">
        <v>246</v>
      </c>
      <c r="G126" s="7" t="s">
        <v>247</v>
      </c>
      <c r="H126" s="7" t="s">
        <v>206</v>
      </c>
      <c r="I126" s="7" t="n">
        <v>0</v>
      </c>
      <c r="J126" s="8" t="n">
        <v>0</v>
      </c>
      <c r="K126" s="8" t="n">
        <v>0</v>
      </c>
      <c r="L126" s="8" t="n">
        <v>0</v>
      </c>
      <c r="M126" s="7" t="s">
        <v>211</v>
      </c>
      <c r="N126" s="7" t="s">
        <v>219</v>
      </c>
      <c r="O126" s="7" t="s">
        <v>234</v>
      </c>
      <c r="P126" s="9"/>
      <c r="Q126" s="9"/>
      <c r="R126" s="7" t="str">
        <f aca="false">IF(P126="",N126,P126)</f>
        <v>oráculo fraco</v>
      </c>
      <c r="S126" s="7" t="str">
        <f aca="false">IF(P126="","",IF(P126=N126,"sim","não"))</f>
        <v/>
      </c>
      <c r="T126" s="10" t="s">
        <v>248</v>
      </c>
    </row>
    <row r="127" customFormat="false" ht="46.25" hidden="false" customHeight="false" outlineLevel="0" collapsed="false">
      <c r="A127" s="7" t="n">
        <v>125</v>
      </c>
      <c r="B127" s="7" t="s">
        <v>32</v>
      </c>
      <c r="C127" s="7" t="s">
        <v>33</v>
      </c>
      <c r="D127" s="7" t="s">
        <v>122</v>
      </c>
      <c r="E127" s="7" t="n">
        <v>192</v>
      </c>
      <c r="F127" s="7" t="s">
        <v>249</v>
      </c>
      <c r="G127" s="7" t="s">
        <v>250</v>
      </c>
      <c r="H127" s="7" t="s">
        <v>206</v>
      </c>
      <c r="I127" s="7" t="n">
        <v>0</v>
      </c>
      <c r="J127" s="8" t="n">
        <v>0</v>
      </c>
      <c r="K127" s="8" t="n">
        <v>0</v>
      </c>
      <c r="L127" s="8" t="n">
        <v>0</v>
      </c>
      <c r="M127" s="7" t="s">
        <v>211</v>
      </c>
      <c r="N127" s="7" t="s">
        <v>219</v>
      </c>
      <c r="O127" s="7" t="s">
        <v>234</v>
      </c>
      <c r="P127" s="9"/>
      <c r="Q127" s="9"/>
      <c r="R127" s="7" t="str">
        <f aca="false">IF(P127="",N127,P127)</f>
        <v>oráculo fraco</v>
      </c>
      <c r="S127" s="7" t="str">
        <f aca="false">IF(P127="","",IF(P127=N127,"sim","não"))</f>
        <v/>
      </c>
      <c r="T127" s="10" t="s">
        <v>251</v>
      </c>
    </row>
    <row r="128" customFormat="false" ht="46.25" hidden="false" customHeight="false" outlineLevel="0" collapsed="false">
      <c r="A128" s="7" t="n">
        <v>126</v>
      </c>
      <c r="B128" s="7" t="s">
        <v>32</v>
      </c>
      <c r="C128" s="7" t="s">
        <v>33</v>
      </c>
      <c r="D128" s="7" t="s">
        <v>122</v>
      </c>
      <c r="E128" s="7" t="n">
        <v>207</v>
      </c>
      <c r="F128" s="7" t="s">
        <v>236</v>
      </c>
      <c r="G128" s="7" t="s">
        <v>252</v>
      </c>
      <c r="H128" s="7" t="s">
        <v>206</v>
      </c>
      <c r="I128" s="7" t="n">
        <v>0</v>
      </c>
      <c r="J128" s="8" t="n">
        <v>0</v>
      </c>
      <c r="K128" s="8" t="n">
        <v>0</v>
      </c>
      <c r="L128" s="8" t="n">
        <v>0</v>
      </c>
      <c r="M128" s="7" t="s">
        <v>211</v>
      </c>
      <c r="N128" s="7" t="s">
        <v>219</v>
      </c>
      <c r="O128" s="7" t="s">
        <v>253</v>
      </c>
      <c r="P128" s="9"/>
      <c r="Q128" s="9"/>
      <c r="R128" s="7" t="str">
        <f aca="false">IF(P128="",N128,P128)</f>
        <v>oráculo fraco</v>
      </c>
      <c r="S128" s="7" t="str">
        <f aca="false">IF(P128="","",IF(P128=N128,"sim","não"))</f>
        <v/>
      </c>
      <c r="T128" s="10" t="s">
        <v>254</v>
      </c>
    </row>
    <row r="129" customFormat="false" ht="35.05" hidden="false" customHeight="false" outlineLevel="0" collapsed="false">
      <c r="A129" s="7" t="n">
        <v>127</v>
      </c>
      <c r="B129" s="7" t="s">
        <v>32</v>
      </c>
      <c r="C129" s="7" t="s">
        <v>33</v>
      </c>
      <c r="D129" s="7" t="s">
        <v>92</v>
      </c>
      <c r="E129" s="7" t="n">
        <v>25</v>
      </c>
      <c r="F129" s="7" t="s">
        <v>93</v>
      </c>
      <c r="G129" s="7" t="s">
        <v>94</v>
      </c>
      <c r="H129" s="7" t="s">
        <v>95</v>
      </c>
      <c r="I129" s="7" t="n">
        <v>0</v>
      </c>
      <c r="J129" s="8" t="n">
        <v>0</v>
      </c>
      <c r="K129" s="8" t="n">
        <v>0</v>
      </c>
      <c r="L129" s="8" t="n">
        <v>0</v>
      </c>
      <c r="M129" s="7" t="s">
        <v>38</v>
      </c>
      <c r="N129" s="7" t="s">
        <v>304</v>
      </c>
      <c r="O129" s="7" t="s">
        <v>305</v>
      </c>
      <c r="P129" s="9"/>
      <c r="Q129" s="9"/>
      <c r="R129" s="7" t="str">
        <f aca="false">IF(P129="",N129,P129)</f>
        <v>regra sem propriedade</v>
      </c>
      <c r="S129" s="7" t="str">
        <f aca="false">IF(P129="","",IF(P129=N129,"sim","não"))</f>
        <v/>
      </c>
      <c r="T129" s="10" t="s">
        <v>97</v>
      </c>
    </row>
    <row r="130" customFormat="false" ht="35.05" hidden="false" customHeight="false" outlineLevel="0" collapsed="false">
      <c r="A130" s="7" t="n">
        <v>128</v>
      </c>
      <c r="B130" s="7" t="s">
        <v>32</v>
      </c>
      <c r="C130" s="7" t="s">
        <v>33</v>
      </c>
      <c r="D130" s="7" t="s">
        <v>92</v>
      </c>
      <c r="E130" s="7" t="n">
        <v>26</v>
      </c>
      <c r="F130" s="7" t="s">
        <v>98</v>
      </c>
      <c r="G130" s="7" t="s">
        <v>99</v>
      </c>
      <c r="H130" s="7" t="s">
        <v>95</v>
      </c>
      <c r="I130" s="7" t="n">
        <v>0</v>
      </c>
      <c r="J130" s="8" t="n">
        <v>0</v>
      </c>
      <c r="K130" s="8" t="n">
        <v>0</v>
      </c>
      <c r="L130" s="8" t="n">
        <v>0</v>
      </c>
      <c r="M130" s="7" t="s">
        <v>38</v>
      </c>
      <c r="N130" s="7" t="s">
        <v>304</v>
      </c>
      <c r="O130" s="7" t="s">
        <v>305</v>
      </c>
      <c r="P130" s="9"/>
      <c r="Q130" s="9"/>
      <c r="R130" s="7" t="str">
        <f aca="false">IF(P130="",N130,P130)</f>
        <v>regra sem propriedade</v>
      </c>
      <c r="S130" s="7" t="str">
        <f aca="false">IF(P130="","",IF(P130=N130,"sim","não"))</f>
        <v/>
      </c>
      <c r="T130" s="10" t="s">
        <v>100</v>
      </c>
    </row>
    <row r="131" customFormat="false" ht="35.05" hidden="false" customHeight="false" outlineLevel="0" collapsed="false">
      <c r="A131" s="7" t="n">
        <v>129</v>
      </c>
      <c r="B131" s="7" t="s">
        <v>32</v>
      </c>
      <c r="C131" s="7" t="s">
        <v>33</v>
      </c>
      <c r="D131" s="7" t="s">
        <v>92</v>
      </c>
      <c r="E131" s="7" t="n">
        <v>27</v>
      </c>
      <c r="F131" s="7" t="s">
        <v>101</v>
      </c>
      <c r="G131" s="7" t="s">
        <v>102</v>
      </c>
      <c r="H131" s="7" t="s">
        <v>95</v>
      </c>
      <c r="I131" s="7" t="n">
        <v>0</v>
      </c>
      <c r="J131" s="8" t="n">
        <v>0</v>
      </c>
      <c r="K131" s="8" t="n">
        <v>0</v>
      </c>
      <c r="L131" s="8" t="n">
        <v>0</v>
      </c>
      <c r="M131" s="7" t="s">
        <v>38</v>
      </c>
      <c r="N131" s="7" t="s">
        <v>304</v>
      </c>
      <c r="O131" s="7" t="s">
        <v>305</v>
      </c>
      <c r="P131" s="9"/>
      <c r="Q131" s="9"/>
      <c r="R131" s="7" t="str">
        <f aca="false">IF(P131="",N131,P131)</f>
        <v>regra sem propriedade</v>
      </c>
      <c r="S131" s="7" t="str">
        <f aca="false">IF(P131="","",IF(P131=N131,"sim","não"))</f>
        <v/>
      </c>
      <c r="T131" s="10" t="s">
        <v>104</v>
      </c>
    </row>
    <row r="132" customFormat="false" ht="35.05" hidden="false" customHeight="false" outlineLevel="0" collapsed="false">
      <c r="A132" s="7" t="n">
        <v>130</v>
      </c>
      <c r="B132" s="7" t="s">
        <v>32</v>
      </c>
      <c r="C132" s="7" t="s">
        <v>33</v>
      </c>
      <c r="D132" s="7" t="s">
        <v>92</v>
      </c>
      <c r="E132" s="7" t="n">
        <v>29</v>
      </c>
      <c r="F132" s="7" t="s">
        <v>109</v>
      </c>
      <c r="G132" s="7" t="s">
        <v>110</v>
      </c>
      <c r="H132" s="7" t="s">
        <v>95</v>
      </c>
      <c r="I132" s="7" t="n">
        <v>0</v>
      </c>
      <c r="J132" s="8" t="n">
        <v>0</v>
      </c>
      <c r="K132" s="8" t="n">
        <v>0</v>
      </c>
      <c r="L132" s="8" t="n">
        <v>0</v>
      </c>
      <c r="M132" s="7" t="s">
        <v>38</v>
      </c>
      <c r="N132" s="7" t="s">
        <v>304</v>
      </c>
      <c r="O132" s="7" t="s">
        <v>305</v>
      </c>
      <c r="P132" s="9"/>
      <c r="Q132" s="9"/>
      <c r="R132" s="7" t="str">
        <f aca="false">IF(P132="",N132,P132)</f>
        <v>regra sem propriedade</v>
      </c>
      <c r="S132" s="7" t="str">
        <f aca="false">IF(P132="","",IF(P132=N132,"sim","não"))</f>
        <v/>
      </c>
      <c r="T132" s="10" t="s">
        <v>112</v>
      </c>
    </row>
    <row r="133" customFormat="false" ht="35.05" hidden="false" customHeight="false" outlineLevel="0" collapsed="false">
      <c r="A133" s="7" t="n">
        <v>131</v>
      </c>
      <c r="B133" s="7" t="s">
        <v>32</v>
      </c>
      <c r="C133" s="7" t="s">
        <v>33</v>
      </c>
      <c r="D133" s="7" t="s">
        <v>92</v>
      </c>
      <c r="E133" s="7" t="n">
        <v>30</v>
      </c>
      <c r="F133" s="7" t="s">
        <v>113</v>
      </c>
      <c r="G133" s="7" t="s">
        <v>114</v>
      </c>
      <c r="H133" s="7" t="s">
        <v>95</v>
      </c>
      <c r="I133" s="7" t="n">
        <v>0</v>
      </c>
      <c r="J133" s="8" t="n">
        <v>0</v>
      </c>
      <c r="K133" s="8" t="n">
        <v>0</v>
      </c>
      <c r="L133" s="8" t="n">
        <v>0</v>
      </c>
      <c r="M133" s="7" t="s">
        <v>38</v>
      </c>
      <c r="N133" s="7" t="s">
        <v>304</v>
      </c>
      <c r="O133" s="7" t="s">
        <v>305</v>
      </c>
      <c r="P133" s="9"/>
      <c r="Q133" s="9"/>
      <c r="R133" s="7" t="str">
        <f aca="false">IF(P133="",N133,P133)</f>
        <v>regra sem propriedade</v>
      </c>
      <c r="S133" s="7" t="str">
        <f aca="false">IF(P133="","",IF(P133=N133,"sim","não"))</f>
        <v/>
      </c>
      <c r="T133" s="10" t="s">
        <v>116</v>
      </c>
    </row>
    <row r="134" customFormat="false" ht="23.85" hidden="false" customHeight="false" outlineLevel="0" collapsed="false">
      <c r="A134" s="7" t="n">
        <v>132</v>
      </c>
      <c r="B134" s="7" t="s">
        <v>32</v>
      </c>
      <c r="C134" s="7" t="s">
        <v>33</v>
      </c>
      <c r="D134" s="7" t="s">
        <v>117</v>
      </c>
      <c r="E134" s="7" t="n">
        <v>23</v>
      </c>
      <c r="F134" s="7" t="s">
        <v>261</v>
      </c>
      <c r="G134" s="7" t="s">
        <v>306</v>
      </c>
      <c r="H134" s="7" t="s">
        <v>120</v>
      </c>
      <c r="I134" s="7" t="n">
        <v>0</v>
      </c>
      <c r="J134" s="8" t="n">
        <v>0</v>
      </c>
      <c r="K134" s="8" t="n">
        <v>0</v>
      </c>
      <c r="L134" s="8" t="n">
        <v>0</v>
      </c>
      <c r="M134" s="7" t="s">
        <v>38</v>
      </c>
      <c r="N134" s="7" t="s">
        <v>304</v>
      </c>
      <c r="O134" s="7" t="s">
        <v>307</v>
      </c>
      <c r="P134" s="9"/>
      <c r="Q134" s="9"/>
      <c r="R134" s="7" t="str">
        <f aca="false">IF(P134="",N134,P134)</f>
        <v>regra sem propriedade</v>
      </c>
      <c r="S134" s="7" t="str">
        <f aca="false">IF(P134="","",IF(P134=N134,"sim","não"))</f>
        <v/>
      </c>
      <c r="T134" s="10" t="s">
        <v>308</v>
      </c>
    </row>
    <row r="135" customFormat="false" ht="35.05" hidden="false" customHeight="false" outlineLevel="0" collapsed="false">
      <c r="A135" s="7" t="n">
        <v>133</v>
      </c>
      <c r="B135" s="7" t="s">
        <v>32</v>
      </c>
      <c r="C135" s="7" t="s">
        <v>33</v>
      </c>
      <c r="D135" s="7" t="s">
        <v>117</v>
      </c>
      <c r="E135" s="7" t="n">
        <v>24</v>
      </c>
      <c r="F135" s="7" t="s">
        <v>118</v>
      </c>
      <c r="G135" s="7" t="s">
        <v>119</v>
      </c>
      <c r="H135" s="7" t="s">
        <v>120</v>
      </c>
      <c r="I135" s="7" t="n">
        <v>0</v>
      </c>
      <c r="J135" s="8" t="n">
        <v>0</v>
      </c>
      <c r="K135" s="8" t="n">
        <v>0</v>
      </c>
      <c r="L135" s="8" t="n">
        <v>0</v>
      </c>
      <c r="M135" s="7" t="s">
        <v>38</v>
      </c>
      <c r="N135" s="7" t="s">
        <v>304</v>
      </c>
      <c r="O135" s="7" t="s">
        <v>307</v>
      </c>
      <c r="P135" s="9"/>
      <c r="Q135" s="9"/>
      <c r="R135" s="7" t="str">
        <f aca="false">IF(P135="",N135,P135)</f>
        <v>regra sem propriedade</v>
      </c>
      <c r="S135" s="7" t="str">
        <f aca="false">IF(P135="","",IF(P135=N135,"sim","não"))</f>
        <v/>
      </c>
      <c r="T135" s="10" t="s">
        <v>121</v>
      </c>
    </row>
    <row r="136" customFormat="false" ht="35.05" hidden="false" customHeight="false" outlineLevel="0" collapsed="false">
      <c r="A136" s="7" t="n">
        <v>134</v>
      </c>
      <c r="B136" s="7" t="s">
        <v>32</v>
      </c>
      <c r="C136" s="7" t="s">
        <v>33</v>
      </c>
      <c r="D136" s="7" t="s">
        <v>117</v>
      </c>
      <c r="E136" s="7" t="n">
        <v>25</v>
      </c>
      <c r="F136" s="7" t="s">
        <v>217</v>
      </c>
      <c r="G136" s="7" t="s">
        <v>218</v>
      </c>
      <c r="H136" s="7" t="s">
        <v>120</v>
      </c>
      <c r="I136" s="7" t="n">
        <v>0</v>
      </c>
      <c r="J136" s="8" t="n">
        <v>0</v>
      </c>
      <c r="K136" s="8" t="n">
        <v>0</v>
      </c>
      <c r="L136" s="8" t="n">
        <v>0</v>
      </c>
      <c r="M136" s="7" t="s">
        <v>211</v>
      </c>
      <c r="N136" s="7" t="s">
        <v>304</v>
      </c>
      <c r="O136" s="7" t="s">
        <v>309</v>
      </c>
      <c r="P136" s="9"/>
      <c r="Q136" s="9"/>
      <c r="R136" s="7" t="str">
        <f aca="false">IF(P136="",N136,P136)</f>
        <v>regra sem propriedade</v>
      </c>
      <c r="S136" s="7" t="str">
        <f aca="false">IF(P136="","",IF(P136=N136,"sim","não"))</f>
        <v/>
      </c>
      <c r="T136" s="10" t="s">
        <v>221</v>
      </c>
    </row>
    <row r="137" customFormat="false" ht="35.05" hidden="false" customHeight="false" outlineLevel="0" collapsed="false">
      <c r="A137" s="7" t="n">
        <v>135</v>
      </c>
      <c r="B137" s="7" t="s">
        <v>32</v>
      </c>
      <c r="C137" s="7" t="s">
        <v>33</v>
      </c>
      <c r="D137" s="7" t="s">
        <v>117</v>
      </c>
      <c r="E137" s="7" t="n">
        <v>26</v>
      </c>
      <c r="F137" s="7" t="s">
        <v>222</v>
      </c>
      <c r="G137" s="7" t="s">
        <v>223</v>
      </c>
      <c r="H137" s="7" t="s">
        <v>120</v>
      </c>
      <c r="I137" s="7" t="n">
        <v>0</v>
      </c>
      <c r="J137" s="8" t="n">
        <v>0</v>
      </c>
      <c r="K137" s="8" t="n">
        <v>0</v>
      </c>
      <c r="L137" s="8" t="n">
        <v>0</v>
      </c>
      <c r="M137" s="7" t="s">
        <v>211</v>
      </c>
      <c r="N137" s="7" t="s">
        <v>304</v>
      </c>
      <c r="O137" s="7" t="s">
        <v>310</v>
      </c>
      <c r="P137" s="9"/>
      <c r="Q137" s="9"/>
      <c r="R137" s="7" t="str">
        <f aca="false">IF(P137="",N137,P137)</f>
        <v>regra sem propriedade</v>
      </c>
      <c r="S137" s="7" t="str">
        <f aca="false">IF(P137="","",IF(P137=N137,"sim","não"))</f>
        <v/>
      </c>
      <c r="T137" s="10" t="s">
        <v>225</v>
      </c>
    </row>
    <row r="138" customFormat="false" ht="35.05" hidden="false" customHeight="false" outlineLevel="0" collapsed="false">
      <c r="A138" s="7" t="n">
        <v>136</v>
      </c>
      <c r="B138" s="7" t="s">
        <v>32</v>
      </c>
      <c r="C138" s="7" t="s">
        <v>33</v>
      </c>
      <c r="D138" s="7" t="s">
        <v>267</v>
      </c>
      <c r="E138" s="7" t="n">
        <v>40</v>
      </c>
      <c r="F138" s="7" t="s">
        <v>311</v>
      </c>
      <c r="G138" s="7" t="s">
        <v>312</v>
      </c>
      <c r="H138" s="7" t="s">
        <v>240</v>
      </c>
      <c r="I138" s="7" t="n">
        <v>0</v>
      </c>
      <c r="J138" s="8" t="n">
        <v>0</v>
      </c>
      <c r="K138" s="8" t="n">
        <v>0</v>
      </c>
      <c r="L138" s="8" t="n">
        <v>0</v>
      </c>
      <c r="M138" s="7" t="s">
        <v>38</v>
      </c>
      <c r="N138" s="7" t="s">
        <v>304</v>
      </c>
      <c r="O138" s="7" t="s">
        <v>313</v>
      </c>
      <c r="P138" s="9"/>
      <c r="Q138" s="9"/>
      <c r="R138" s="7" t="str">
        <f aca="false">IF(P138="",N138,P138)</f>
        <v>regra sem propriedade</v>
      </c>
      <c r="S138" s="7" t="str">
        <f aca="false">IF(P138="","",IF(P138=N138,"sim","não"))</f>
        <v/>
      </c>
      <c r="T138" s="10" t="s">
        <v>314</v>
      </c>
    </row>
    <row r="139" customFormat="false" ht="23.85" hidden="false" customHeight="false" outlineLevel="0" collapsed="false">
      <c r="A139" s="7" t="n">
        <v>137</v>
      </c>
      <c r="B139" s="7" t="s">
        <v>32</v>
      </c>
      <c r="C139" s="7" t="s">
        <v>33</v>
      </c>
      <c r="D139" s="7" t="s">
        <v>122</v>
      </c>
      <c r="E139" s="7" t="n">
        <v>35</v>
      </c>
      <c r="F139" s="7" t="s">
        <v>123</v>
      </c>
      <c r="G139" s="7" t="s">
        <v>36</v>
      </c>
      <c r="H139" s="7" t="s">
        <v>120</v>
      </c>
      <c r="I139" s="7" t="n">
        <v>0</v>
      </c>
      <c r="J139" s="8" t="n">
        <v>0</v>
      </c>
      <c r="K139" s="8" t="n">
        <v>0</v>
      </c>
      <c r="L139" s="8" t="n">
        <v>0</v>
      </c>
      <c r="M139" s="7" t="s">
        <v>38</v>
      </c>
      <c r="N139" s="7" t="s">
        <v>304</v>
      </c>
      <c r="O139" s="7" t="s">
        <v>307</v>
      </c>
      <c r="P139" s="9"/>
      <c r="Q139" s="9"/>
      <c r="R139" s="7" t="str">
        <f aca="false">IF(P139="",N139,P139)</f>
        <v>regra sem propriedade</v>
      </c>
      <c r="S139" s="7" t="str">
        <f aca="false">IF(P139="","",IF(P139=N139,"sim","não"))</f>
        <v/>
      </c>
      <c r="T139" s="10" t="s">
        <v>125</v>
      </c>
    </row>
    <row r="140" customFormat="false" ht="23.85" hidden="false" customHeight="false" outlineLevel="0" collapsed="false">
      <c r="A140" s="7" t="n">
        <v>138</v>
      </c>
      <c r="B140" s="7" t="s">
        <v>32</v>
      </c>
      <c r="C140" s="7" t="s">
        <v>33</v>
      </c>
      <c r="D140" s="7" t="s">
        <v>122</v>
      </c>
      <c r="E140" s="7" t="n">
        <v>35</v>
      </c>
      <c r="F140" s="7" t="s">
        <v>123</v>
      </c>
      <c r="G140" s="7" t="s">
        <v>49</v>
      </c>
      <c r="H140" s="7" t="s">
        <v>120</v>
      </c>
      <c r="I140" s="7" t="n">
        <v>0</v>
      </c>
      <c r="J140" s="8" t="n">
        <v>0</v>
      </c>
      <c r="K140" s="8" t="n">
        <v>0</v>
      </c>
      <c r="L140" s="8" t="n">
        <v>0</v>
      </c>
      <c r="M140" s="7" t="s">
        <v>38</v>
      </c>
      <c r="N140" s="7" t="s">
        <v>304</v>
      </c>
      <c r="O140" s="7" t="s">
        <v>307</v>
      </c>
      <c r="P140" s="9"/>
      <c r="Q140" s="9"/>
      <c r="R140" s="7" t="str">
        <f aca="false">IF(P140="",N140,P140)</f>
        <v>regra sem propriedade</v>
      </c>
      <c r="S140" s="7" t="str">
        <f aca="false">IF(P140="","",IF(P140=N140,"sim","não"))</f>
        <v/>
      </c>
      <c r="T140" s="10" t="s">
        <v>315</v>
      </c>
    </row>
    <row r="141" customFormat="false" ht="23.85" hidden="false" customHeight="false" outlineLevel="0" collapsed="false">
      <c r="A141" s="7" t="n">
        <v>139</v>
      </c>
      <c r="B141" s="7" t="s">
        <v>32</v>
      </c>
      <c r="C141" s="7" t="s">
        <v>33</v>
      </c>
      <c r="D141" s="7" t="s">
        <v>122</v>
      </c>
      <c r="E141" s="7" t="n">
        <v>35</v>
      </c>
      <c r="F141" s="7" t="s">
        <v>123</v>
      </c>
      <c r="G141" s="7" t="s">
        <v>49</v>
      </c>
      <c r="H141" s="7" t="s">
        <v>120</v>
      </c>
      <c r="I141" s="7" t="n">
        <v>0</v>
      </c>
      <c r="J141" s="8" t="n">
        <v>0</v>
      </c>
      <c r="K141" s="8" t="n">
        <v>0</v>
      </c>
      <c r="L141" s="8" t="n">
        <v>0</v>
      </c>
      <c r="M141" s="7" t="s">
        <v>38</v>
      </c>
      <c r="N141" s="7" t="s">
        <v>304</v>
      </c>
      <c r="O141" s="7" t="s">
        <v>307</v>
      </c>
      <c r="P141" s="9"/>
      <c r="Q141" s="9"/>
      <c r="R141" s="7" t="str">
        <f aca="false">IF(P141="",N141,P141)</f>
        <v>regra sem propriedade</v>
      </c>
      <c r="S141" s="7" t="str">
        <f aca="false">IF(P141="","",IF(P141=N141,"sim","não"))</f>
        <v/>
      </c>
      <c r="T141" s="10" t="s">
        <v>316</v>
      </c>
    </row>
    <row r="142" customFormat="false" ht="23.85" hidden="false" customHeight="false" outlineLevel="0" collapsed="false">
      <c r="A142" s="7" t="n">
        <v>140</v>
      </c>
      <c r="B142" s="7" t="s">
        <v>32</v>
      </c>
      <c r="C142" s="7" t="s">
        <v>33</v>
      </c>
      <c r="D142" s="7" t="s">
        <v>122</v>
      </c>
      <c r="E142" s="7" t="n">
        <v>35</v>
      </c>
      <c r="F142" s="7" t="s">
        <v>123</v>
      </c>
      <c r="G142" s="7" t="s">
        <v>55</v>
      </c>
      <c r="H142" s="7" t="s">
        <v>120</v>
      </c>
      <c r="I142" s="7" t="n">
        <v>0</v>
      </c>
      <c r="J142" s="8" t="n">
        <v>0</v>
      </c>
      <c r="K142" s="8" t="n">
        <v>0</v>
      </c>
      <c r="L142" s="8" t="n">
        <v>0</v>
      </c>
      <c r="M142" s="7" t="s">
        <v>38</v>
      </c>
      <c r="N142" s="7" t="s">
        <v>304</v>
      </c>
      <c r="O142" s="7" t="s">
        <v>307</v>
      </c>
      <c r="P142" s="9"/>
      <c r="Q142" s="9"/>
      <c r="R142" s="7" t="str">
        <f aca="false">IF(P142="",N142,P142)</f>
        <v>regra sem propriedade</v>
      </c>
      <c r="S142" s="7" t="str">
        <f aca="false">IF(P142="","",IF(P142=N142,"sim","não"))</f>
        <v/>
      </c>
      <c r="T142" s="10" t="s">
        <v>127</v>
      </c>
    </row>
    <row r="143" customFormat="false" ht="23.85" hidden="false" customHeight="false" outlineLevel="0" collapsed="false">
      <c r="A143" s="7" t="n">
        <v>141</v>
      </c>
      <c r="B143" s="7" t="s">
        <v>32</v>
      </c>
      <c r="C143" s="7" t="s">
        <v>33</v>
      </c>
      <c r="D143" s="7" t="s">
        <v>122</v>
      </c>
      <c r="E143" s="7" t="n">
        <v>45</v>
      </c>
      <c r="F143" s="7" t="s">
        <v>317</v>
      </c>
      <c r="G143" s="7" t="s">
        <v>73</v>
      </c>
      <c r="H143" s="7" t="s">
        <v>147</v>
      </c>
      <c r="I143" s="7" t="n">
        <v>0</v>
      </c>
      <c r="J143" s="8" t="n">
        <v>0</v>
      </c>
      <c r="K143" s="8" t="n">
        <v>0</v>
      </c>
      <c r="L143" s="8" t="n">
        <v>0</v>
      </c>
      <c r="M143" s="7" t="s">
        <v>38</v>
      </c>
      <c r="N143" s="7" t="s">
        <v>304</v>
      </c>
      <c r="O143" s="7" t="s">
        <v>318</v>
      </c>
      <c r="P143" s="9"/>
      <c r="Q143" s="9"/>
      <c r="R143" s="7" t="str">
        <f aca="false">IF(P143="",N143,P143)</f>
        <v>regra sem propriedade</v>
      </c>
      <c r="S143" s="7" t="str">
        <f aca="false">IF(P143="","",IF(P143=N143,"sim","não"))</f>
        <v/>
      </c>
      <c r="T143" s="10" t="s">
        <v>319</v>
      </c>
    </row>
    <row r="144" customFormat="false" ht="35.05" hidden="false" customHeight="false" outlineLevel="0" collapsed="false">
      <c r="A144" s="7" t="n">
        <v>142</v>
      </c>
      <c r="B144" s="7" t="s">
        <v>32</v>
      </c>
      <c r="C144" s="7" t="s">
        <v>33</v>
      </c>
      <c r="D144" s="7" t="s">
        <v>122</v>
      </c>
      <c r="E144" s="7" t="n">
        <v>53</v>
      </c>
      <c r="F144" s="7" t="s">
        <v>320</v>
      </c>
      <c r="G144" s="7" t="s">
        <v>321</v>
      </c>
      <c r="H144" s="7" t="s">
        <v>233</v>
      </c>
      <c r="I144" s="7" t="n">
        <v>0</v>
      </c>
      <c r="J144" s="8" t="n">
        <v>0</v>
      </c>
      <c r="K144" s="8" t="n">
        <v>0</v>
      </c>
      <c r="L144" s="8" t="n">
        <v>0</v>
      </c>
      <c r="M144" s="7" t="s">
        <v>38</v>
      </c>
      <c r="N144" s="7" t="s">
        <v>304</v>
      </c>
      <c r="O144" s="7" t="s">
        <v>322</v>
      </c>
      <c r="P144" s="9"/>
      <c r="Q144" s="9"/>
      <c r="R144" s="7" t="str">
        <f aca="false">IF(P144="",N144,P144)</f>
        <v>regra sem propriedade</v>
      </c>
      <c r="S144" s="7" t="str">
        <f aca="false">IF(P144="","",IF(P144=N144,"sim","não"))</f>
        <v/>
      </c>
      <c r="T144" s="10" t="s">
        <v>323</v>
      </c>
    </row>
    <row r="145" customFormat="false" ht="57.45" hidden="false" customHeight="false" outlineLevel="0" collapsed="false">
      <c r="A145" s="7" t="n">
        <v>143</v>
      </c>
      <c r="B145" s="7" t="s">
        <v>32</v>
      </c>
      <c r="C145" s="7" t="s">
        <v>33</v>
      </c>
      <c r="D145" s="7" t="s">
        <v>122</v>
      </c>
      <c r="E145" s="7" t="n">
        <v>54</v>
      </c>
      <c r="F145" s="7" t="s">
        <v>231</v>
      </c>
      <c r="G145" s="7" t="s">
        <v>232</v>
      </c>
      <c r="H145" s="7" t="s">
        <v>233</v>
      </c>
      <c r="I145" s="7" t="n">
        <v>0</v>
      </c>
      <c r="J145" s="8" t="n">
        <v>0</v>
      </c>
      <c r="K145" s="8" t="n">
        <v>0</v>
      </c>
      <c r="L145" s="8" t="n">
        <v>0</v>
      </c>
      <c r="M145" s="7" t="s">
        <v>211</v>
      </c>
      <c r="N145" s="7" t="s">
        <v>304</v>
      </c>
      <c r="O145" s="7" t="s">
        <v>324</v>
      </c>
      <c r="P145" s="9"/>
      <c r="Q145" s="9"/>
      <c r="R145" s="7" t="str">
        <f aca="false">IF(P145="",N145,P145)</f>
        <v>regra sem propriedade</v>
      </c>
      <c r="S145" s="7" t="str">
        <f aca="false">IF(P145="","",IF(P145=N145,"sim","não"))</f>
        <v/>
      </c>
      <c r="T145" s="10" t="s">
        <v>235</v>
      </c>
    </row>
    <row r="146" customFormat="false" ht="23.85" hidden="false" customHeight="false" outlineLevel="0" collapsed="false">
      <c r="A146" s="7" t="n">
        <v>144</v>
      </c>
      <c r="B146" s="7" t="s">
        <v>32</v>
      </c>
      <c r="C146" s="7" t="s">
        <v>33</v>
      </c>
      <c r="D146" s="7" t="s">
        <v>122</v>
      </c>
      <c r="E146" s="7" t="n">
        <v>62</v>
      </c>
      <c r="F146" s="7" t="s">
        <v>128</v>
      </c>
      <c r="G146" s="7" t="s">
        <v>36</v>
      </c>
      <c r="H146" s="7" t="s">
        <v>129</v>
      </c>
      <c r="I146" s="7" t="n">
        <v>0</v>
      </c>
      <c r="J146" s="8" t="n">
        <v>0</v>
      </c>
      <c r="K146" s="8" t="n">
        <v>0</v>
      </c>
      <c r="L146" s="8" t="n">
        <v>0</v>
      </c>
      <c r="M146" s="7" t="s">
        <v>38</v>
      </c>
      <c r="N146" s="7" t="s">
        <v>304</v>
      </c>
      <c r="O146" s="7" t="s">
        <v>325</v>
      </c>
      <c r="P146" s="9"/>
      <c r="Q146" s="9"/>
      <c r="R146" s="7" t="str">
        <f aca="false">IF(P146="",N146,P146)</f>
        <v>regra sem propriedade</v>
      </c>
      <c r="S146" s="7" t="str">
        <f aca="false">IF(P146="","",IF(P146=N146,"sim","não"))</f>
        <v/>
      </c>
      <c r="T146" s="10" t="s">
        <v>130</v>
      </c>
    </row>
    <row r="147" customFormat="false" ht="23.85" hidden="false" customHeight="false" outlineLevel="0" collapsed="false">
      <c r="A147" s="7" t="n">
        <v>145</v>
      </c>
      <c r="B147" s="7" t="s">
        <v>32</v>
      </c>
      <c r="C147" s="7" t="s">
        <v>33</v>
      </c>
      <c r="D147" s="7" t="s">
        <v>122</v>
      </c>
      <c r="E147" s="7" t="n">
        <v>62</v>
      </c>
      <c r="F147" s="7" t="s">
        <v>128</v>
      </c>
      <c r="G147" s="7" t="s">
        <v>55</v>
      </c>
      <c r="H147" s="7" t="s">
        <v>129</v>
      </c>
      <c r="I147" s="7" t="n">
        <v>0</v>
      </c>
      <c r="J147" s="8" t="n">
        <v>0</v>
      </c>
      <c r="K147" s="8" t="n">
        <v>0</v>
      </c>
      <c r="L147" s="8" t="n">
        <v>0</v>
      </c>
      <c r="M147" s="7" t="s">
        <v>38</v>
      </c>
      <c r="N147" s="7" t="s">
        <v>304</v>
      </c>
      <c r="O147" s="7" t="s">
        <v>325</v>
      </c>
      <c r="P147" s="9"/>
      <c r="Q147" s="9"/>
      <c r="R147" s="7" t="str">
        <f aca="false">IF(P147="",N147,P147)</f>
        <v>regra sem propriedade</v>
      </c>
      <c r="S147" s="7" t="str">
        <f aca="false">IF(P147="","",IF(P147=N147,"sim","não"))</f>
        <v/>
      </c>
      <c r="T147" s="10" t="s">
        <v>326</v>
      </c>
    </row>
    <row r="148" customFormat="false" ht="23.85" hidden="false" customHeight="false" outlineLevel="0" collapsed="false">
      <c r="A148" s="7" t="n">
        <v>146</v>
      </c>
      <c r="B148" s="7" t="s">
        <v>32</v>
      </c>
      <c r="C148" s="7" t="s">
        <v>33</v>
      </c>
      <c r="D148" s="7" t="s">
        <v>122</v>
      </c>
      <c r="E148" s="7" t="n">
        <v>62</v>
      </c>
      <c r="F148" s="7" t="s">
        <v>128</v>
      </c>
      <c r="G148" s="7" t="s">
        <v>58</v>
      </c>
      <c r="H148" s="7" t="s">
        <v>129</v>
      </c>
      <c r="I148" s="7" t="n">
        <v>0</v>
      </c>
      <c r="J148" s="8" t="n">
        <v>0</v>
      </c>
      <c r="K148" s="8" t="n">
        <v>0</v>
      </c>
      <c r="L148" s="8" t="n">
        <v>0</v>
      </c>
      <c r="M148" s="7" t="s">
        <v>38</v>
      </c>
      <c r="N148" s="7" t="s">
        <v>304</v>
      </c>
      <c r="O148" s="7" t="s">
        <v>325</v>
      </c>
      <c r="P148" s="9"/>
      <c r="Q148" s="9"/>
      <c r="R148" s="7" t="str">
        <f aca="false">IF(P148="",N148,P148)</f>
        <v>regra sem propriedade</v>
      </c>
      <c r="S148" s="7" t="str">
        <f aca="false">IF(P148="","",IF(P148=N148,"sim","não"))</f>
        <v/>
      </c>
      <c r="T148" s="10" t="s">
        <v>131</v>
      </c>
    </row>
    <row r="149" customFormat="false" ht="23.85" hidden="false" customHeight="false" outlineLevel="0" collapsed="false">
      <c r="A149" s="7" t="n">
        <v>147</v>
      </c>
      <c r="B149" s="7" t="s">
        <v>32</v>
      </c>
      <c r="C149" s="7" t="s">
        <v>33</v>
      </c>
      <c r="D149" s="7" t="s">
        <v>122</v>
      </c>
      <c r="E149" s="7" t="n">
        <v>67</v>
      </c>
      <c r="F149" s="7" t="s">
        <v>132</v>
      </c>
      <c r="G149" s="7" t="s">
        <v>63</v>
      </c>
      <c r="H149" s="7" t="s">
        <v>133</v>
      </c>
      <c r="I149" s="7" t="n">
        <v>0</v>
      </c>
      <c r="J149" s="8" t="n">
        <v>0</v>
      </c>
      <c r="K149" s="8" t="n">
        <v>0</v>
      </c>
      <c r="L149" s="8" t="n">
        <v>0</v>
      </c>
      <c r="M149" s="7" t="s">
        <v>38</v>
      </c>
      <c r="N149" s="7" t="s">
        <v>304</v>
      </c>
      <c r="O149" s="7" t="s">
        <v>327</v>
      </c>
      <c r="P149" s="9"/>
      <c r="Q149" s="9"/>
      <c r="R149" s="7" t="str">
        <f aca="false">IF(P149="",N149,P149)</f>
        <v>regra sem propriedade</v>
      </c>
      <c r="S149" s="7" t="str">
        <f aca="false">IF(P149="","",IF(P149=N149,"sim","não"))</f>
        <v/>
      </c>
      <c r="T149" s="10" t="s">
        <v>135</v>
      </c>
    </row>
    <row r="150" customFormat="false" ht="23.85" hidden="false" customHeight="false" outlineLevel="0" collapsed="false">
      <c r="A150" s="7" t="n">
        <v>148</v>
      </c>
      <c r="B150" s="7" t="s">
        <v>32</v>
      </c>
      <c r="C150" s="7" t="s">
        <v>33</v>
      </c>
      <c r="D150" s="7" t="s">
        <v>122</v>
      </c>
      <c r="E150" s="7" t="n">
        <v>67</v>
      </c>
      <c r="F150" s="7" t="s">
        <v>132</v>
      </c>
      <c r="G150" s="7" t="s">
        <v>73</v>
      </c>
      <c r="H150" s="7" t="s">
        <v>133</v>
      </c>
      <c r="I150" s="7" t="n">
        <v>0</v>
      </c>
      <c r="J150" s="8" t="n">
        <v>0</v>
      </c>
      <c r="K150" s="8" t="n">
        <v>0</v>
      </c>
      <c r="L150" s="8" t="n">
        <v>0</v>
      </c>
      <c r="M150" s="7" t="s">
        <v>38</v>
      </c>
      <c r="N150" s="7" t="s">
        <v>304</v>
      </c>
      <c r="O150" s="7" t="s">
        <v>327</v>
      </c>
      <c r="P150" s="9"/>
      <c r="Q150" s="9"/>
      <c r="R150" s="7" t="str">
        <f aca="false">IF(P150="",N150,P150)</f>
        <v>regra sem propriedade</v>
      </c>
      <c r="S150" s="7" t="str">
        <f aca="false">IF(P150="","",IF(P150=N150,"sim","não"))</f>
        <v/>
      </c>
      <c r="T150" s="10" t="s">
        <v>136</v>
      </c>
    </row>
    <row r="151" customFormat="false" ht="23.85" hidden="false" customHeight="false" outlineLevel="0" collapsed="false">
      <c r="A151" s="7" t="n">
        <v>149</v>
      </c>
      <c r="B151" s="7" t="s">
        <v>32</v>
      </c>
      <c r="C151" s="7" t="s">
        <v>33</v>
      </c>
      <c r="D151" s="7" t="s">
        <v>122</v>
      </c>
      <c r="E151" s="7" t="n">
        <v>67</v>
      </c>
      <c r="F151" s="7" t="s">
        <v>132</v>
      </c>
      <c r="G151" s="7" t="s">
        <v>49</v>
      </c>
      <c r="H151" s="7" t="s">
        <v>133</v>
      </c>
      <c r="I151" s="7" t="n">
        <v>0</v>
      </c>
      <c r="J151" s="8" t="n">
        <v>0</v>
      </c>
      <c r="K151" s="8" t="n">
        <v>0</v>
      </c>
      <c r="L151" s="8" t="n">
        <v>0</v>
      </c>
      <c r="M151" s="7" t="s">
        <v>38</v>
      </c>
      <c r="N151" s="7" t="s">
        <v>304</v>
      </c>
      <c r="O151" s="7" t="s">
        <v>327</v>
      </c>
      <c r="P151" s="9"/>
      <c r="Q151" s="9"/>
      <c r="R151" s="7" t="str">
        <f aca="false">IF(P151="",N151,P151)</f>
        <v>regra sem propriedade</v>
      </c>
      <c r="S151" s="7" t="str">
        <f aca="false">IF(P151="","",IF(P151=N151,"sim","não"))</f>
        <v/>
      </c>
      <c r="T151" s="10" t="s">
        <v>137</v>
      </c>
    </row>
    <row r="152" customFormat="false" ht="23.85" hidden="false" customHeight="false" outlineLevel="0" collapsed="false">
      <c r="A152" s="7" t="n">
        <v>150</v>
      </c>
      <c r="B152" s="7" t="s">
        <v>32</v>
      </c>
      <c r="C152" s="7" t="s">
        <v>33</v>
      </c>
      <c r="D152" s="7" t="s">
        <v>122</v>
      </c>
      <c r="E152" s="7" t="n">
        <v>68</v>
      </c>
      <c r="F152" s="7" t="s">
        <v>138</v>
      </c>
      <c r="G152" s="7" t="s">
        <v>139</v>
      </c>
      <c r="H152" s="7" t="s">
        <v>133</v>
      </c>
      <c r="I152" s="7" t="n">
        <v>0</v>
      </c>
      <c r="J152" s="8" t="n">
        <v>0</v>
      </c>
      <c r="K152" s="8" t="n">
        <v>0</v>
      </c>
      <c r="L152" s="8" t="n">
        <v>0</v>
      </c>
      <c r="M152" s="7" t="s">
        <v>38</v>
      </c>
      <c r="N152" s="7" t="s">
        <v>304</v>
      </c>
      <c r="O152" s="7" t="s">
        <v>327</v>
      </c>
      <c r="P152" s="9"/>
      <c r="Q152" s="9"/>
      <c r="R152" s="7" t="str">
        <f aca="false">IF(P152="",N152,P152)</f>
        <v>regra sem propriedade</v>
      </c>
      <c r="S152" s="7" t="str">
        <f aca="false">IF(P152="","",IF(P152=N152,"sim","não"))</f>
        <v/>
      </c>
      <c r="T152" s="10" t="s">
        <v>141</v>
      </c>
    </row>
    <row r="153" customFormat="false" ht="23.85" hidden="false" customHeight="false" outlineLevel="0" collapsed="false">
      <c r="A153" s="7" t="n">
        <v>151</v>
      </c>
      <c r="B153" s="7" t="s">
        <v>32</v>
      </c>
      <c r="C153" s="7" t="s">
        <v>33</v>
      </c>
      <c r="D153" s="7" t="s">
        <v>122</v>
      </c>
      <c r="E153" s="7" t="n">
        <v>71</v>
      </c>
      <c r="F153" s="7" t="s">
        <v>142</v>
      </c>
      <c r="G153" s="7" t="s">
        <v>36</v>
      </c>
      <c r="H153" s="7" t="s">
        <v>133</v>
      </c>
      <c r="I153" s="7" t="n">
        <v>0</v>
      </c>
      <c r="J153" s="8" t="n">
        <v>0</v>
      </c>
      <c r="K153" s="8" t="n">
        <v>0</v>
      </c>
      <c r="L153" s="8" t="n">
        <v>0</v>
      </c>
      <c r="M153" s="7" t="s">
        <v>38</v>
      </c>
      <c r="N153" s="7" t="s">
        <v>304</v>
      </c>
      <c r="O153" s="7" t="s">
        <v>327</v>
      </c>
      <c r="P153" s="9"/>
      <c r="Q153" s="9"/>
      <c r="R153" s="7" t="str">
        <f aca="false">IF(P153="",N153,P153)</f>
        <v>regra sem propriedade</v>
      </c>
      <c r="S153" s="7" t="str">
        <f aca="false">IF(P153="","",IF(P153=N153,"sim","não"))</f>
        <v/>
      </c>
      <c r="T153" s="10" t="s">
        <v>144</v>
      </c>
    </row>
    <row r="154" customFormat="false" ht="23.85" hidden="false" customHeight="false" outlineLevel="0" collapsed="false">
      <c r="A154" s="7" t="n">
        <v>152</v>
      </c>
      <c r="B154" s="7" t="s">
        <v>32</v>
      </c>
      <c r="C154" s="7" t="s">
        <v>33</v>
      </c>
      <c r="D154" s="7" t="s">
        <v>122</v>
      </c>
      <c r="E154" s="7" t="n">
        <v>71</v>
      </c>
      <c r="F154" s="7" t="s">
        <v>142</v>
      </c>
      <c r="G154" s="7" t="s">
        <v>139</v>
      </c>
      <c r="H154" s="7" t="s">
        <v>133</v>
      </c>
      <c r="I154" s="7" t="n">
        <v>0</v>
      </c>
      <c r="J154" s="8" t="n">
        <v>0</v>
      </c>
      <c r="K154" s="8" t="n">
        <v>0</v>
      </c>
      <c r="L154" s="8" t="n">
        <v>0</v>
      </c>
      <c r="M154" s="7" t="s">
        <v>38</v>
      </c>
      <c r="N154" s="7" t="s">
        <v>304</v>
      </c>
      <c r="O154" s="7" t="s">
        <v>327</v>
      </c>
      <c r="P154" s="9"/>
      <c r="Q154" s="9"/>
      <c r="R154" s="7" t="str">
        <f aca="false">IF(P154="",N154,P154)</f>
        <v>regra sem propriedade</v>
      </c>
      <c r="S154" s="7" t="str">
        <f aca="false">IF(P154="","",IF(P154=N154,"sim","não"))</f>
        <v/>
      </c>
      <c r="T154" s="10" t="s">
        <v>328</v>
      </c>
    </row>
    <row r="155" customFormat="false" ht="23.85" hidden="false" customHeight="false" outlineLevel="0" collapsed="false">
      <c r="A155" s="7" t="n">
        <v>153</v>
      </c>
      <c r="B155" s="7" t="s">
        <v>32</v>
      </c>
      <c r="C155" s="7" t="s">
        <v>33</v>
      </c>
      <c r="D155" s="7" t="s">
        <v>122</v>
      </c>
      <c r="E155" s="7" t="n">
        <v>71</v>
      </c>
      <c r="F155" s="7" t="s">
        <v>142</v>
      </c>
      <c r="G155" s="7" t="s">
        <v>55</v>
      </c>
      <c r="H155" s="7" t="s">
        <v>133</v>
      </c>
      <c r="I155" s="7" t="n">
        <v>0</v>
      </c>
      <c r="J155" s="8" t="n">
        <v>0</v>
      </c>
      <c r="K155" s="8" t="n">
        <v>0</v>
      </c>
      <c r="L155" s="8" t="n">
        <v>0</v>
      </c>
      <c r="M155" s="7" t="s">
        <v>38</v>
      </c>
      <c r="N155" s="7" t="s">
        <v>304</v>
      </c>
      <c r="O155" s="7" t="s">
        <v>327</v>
      </c>
      <c r="P155" s="9"/>
      <c r="Q155" s="9"/>
      <c r="R155" s="7" t="str">
        <f aca="false">IF(P155="",N155,P155)</f>
        <v>regra sem propriedade</v>
      </c>
      <c r="S155" s="7" t="str">
        <f aca="false">IF(P155="","",IF(P155=N155,"sim","não"))</f>
        <v/>
      </c>
      <c r="T155" s="10" t="s">
        <v>145</v>
      </c>
    </row>
    <row r="156" customFormat="false" ht="23.85" hidden="false" customHeight="false" outlineLevel="0" collapsed="false">
      <c r="A156" s="7" t="n">
        <v>154</v>
      </c>
      <c r="B156" s="7" t="s">
        <v>32</v>
      </c>
      <c r="C156" s="7" t="s">
        <v>33</v>
      </c>
      <c r="D156" s="7" t="s">
        <v>122</v>
      </c>
      <c r="E156" s="7" t="n">
        <v>81</v>
      </c>
      <c r="F156" s="7" t="s">
        <v>146</v>
      </c>
      <c r="G156" s="7" t="s">
        <v>73</v>
      </c>
      <c r="H156" s="7" t="s">
        <v>147</v>
      </c>
      <c r="I156" s="7" t="n">
        <v>0</v>
      </c>
      <c r="J156" s="8" t="n">
        <v>0</v>
      </c>
      <c r="K156" s="8" t="n">
        <v>0</v>
      </c>
      <c r="L156" s="8" t="n">
        <v>0</v>
      </c>
      <c r="M156" s="7" t="s">
        <v>38</v>
      </c>
      <c r="N156" s="7" t="s">
        <v>304</v>
      </c>
      <c r="O156" s="7" t="s">
        <v>318</v>
      </c>
      <c r="P156" s="9"/>
      <c r="Q156" s="9"/>
      <c r="R156" s="7" t="str">
        <f aca="false">IF(P156="",N156,P156)</f>
        <v>regra sem propriedade</v>
      </c>
      <c r="S156" s="7" t="str">
        <f aca="false">IF(P156="","",IF(P156=N156,"sim","não"))</f>
        <v/>
      </c>
      <c r="T156" s="10" t="s">
        <v>149</v>
      </c>
    </row>
    <row r="157" customFormat="false" ht="35.05" hidden="false" customHeight="false" outlineLevel="0" collapsed="false">
      <c r="A157" s="7" t="n">
        <v>155</v>
      </c>
      <c r="B157" s="7" t="s">
        <v>32</v>
      </c>
      <c r="C157" s="7" t="s">
        <v>33</v>
      </c>
      <c r="D157" s="7" t="s">
        <v>122</v>
      </c>
      <c r="E157" s="7" t="n">
        <v>92</v>
      </c>
      <c r="F157" s="7" t="s">
        <v>150</v>
      </c>
      <c r="G157" s="7" t="s">
        <v>36</v>
      </c>
      <c r="H157" s="7" t="s">
        <v>95</v>
      </c>
      <c r="I157" s="7" t="n">
        <v>0</v>
      </c>
      <c r="J157" s="8" t="n">
        <v>0</v>
      </c>
      <c r="K157" s="8" t="n">
        <v>0</v>
      </c>
      <c r="L157" s="8" t="n">
        <v>0</v>
      </c>
      <c r="M157" s="7" t="s">
        <v>38</v>
      </c>
      <c r="N157" s="7" t="s">
        <v>304</v>
      </c>
      <c r="O157" s="7" t="s">
        <v>305</v>
      </c>
      <c r="P157" s="9"/>
      <c r="Q157" s="9"/>
      <c r="R157" s="7" t="str">
        <f aca="false">IF(P157="",N157,P157)</f>
        <v>regra sem propriedade</v>
      </c>
      <c r="S157" s="7" t="str">
        <f aca="false">IF(P157="","",IF(P157=N157,"sim","não"))</f>
        <v/>
      </c>
      <c r="T157" s="10" t="s">
        <v>153</v>
      </c>
    </row>
    <row r="158" customFormat="false" ht="35.05" hidden="false" customHeight="false" outlineLevel="0" collapsed="false">
      <c r="A158" s="7" t="n">
        <v>156</v>
      </c>
      <c r="B158" s="7" t="s">
        <v>32</v>
      </c>
      <c r="C158" s="7" t="s">
        <v>33</v>
      </c>
      <c r="D158" s="7" t="s">
        <v>122</v>
      </c>
      <c r="E158" s="7" t="n">
        <v>92</v>
      </c>
      <c r="F158" s="7" t="s">
        <v>150</v>
      </c>
      <c r="G158" s="7" t="s">
        <v>73</v>
      </c>
      <c r="H158" s="7" t="s">
        <v>95</v>
      </c>
      <c r="I158" s="7" t="n">
        <v>0</v>
      </c>
      <c r="J158" s="8" t="n">
        <v>0</v>
      </c>
      <c r="K158" s="8" t="n">
        <v>0</v>
      </c>
      <c r="L158" s="8" t="n">
        <v>0</v>
      </c>
      <c r="M158" s="7" t="s">
        <v>38</v>
      </c>
      <c r="N158" s="7" t="s">
        <v>304</v>
      </c>
      <c r="O158" s="7" t="s">
        <v>305</v>
      </c>
      <c r="P158" s="9"/>
      <c r="Q158" s="9"/>
      <c r="R158" s="7" t="str">
        <f aca="false">IF(P158="",N158,P158)</f>
        <v>regra sem propriedade</v>
      </c>
      <c r="S158" s="7" t="str">
        <f aca="false">IF(P158="","",IF(P158=N158,"sim","não"))</f>
        <v/>
      </c>
      <c r="T158" s="10" t="s">
        <v>156</v>
      </c>
    </row>
    <row r="159" customFormat="false" ht="35.05" hidden="false" customHeight="false" outlineLevel="0" collapsed="false">
      <c r="A159" s="7" t="n">
        <v>157</v>
      </c>
      <c r="B159" s="7" t="s">
        <v>32</v>
      </c>
      <c r="C159" s="7" t="s">
        <v>33</v>
      </c>
      <c r="D159" s="7" t="s">
        <v>122</v>
      </c>
      <c r="E159" s="7" t="n">
        <v>92</v>
      </c>
      <c r="F159" s="7" t="s">
        <v>150</v>
      </c>
      <c r="G159" s="7" t="s">
        <v>58</v>
      </c>
      <c r="H159" s="7" t="s">
        <v>95</v>
      </c>
      <c r="I159" s="7" t="n">
        <v>0</v>
      </c>
      <c r="J159" s="8" t="n">
        <v>0</v>
      </c>
      <c r="K159" s="8" t="n">
        <v>0</v>
      </c>
      <c r="L159" s="8" t="n">
        <v>0</v>
      </c>
      <c r="M159" s="7" t="s">
        <v>38</v>
      </c>
      <c r="N159" s="7" t="s">
        <v>304</v>
      </c>
      <c r="O159" s="7" t="s">
        <v>305</v>
      </c>
      <c r="P159" s="9"/>
      <c r="Q159" s="9"/>
      <c r="R159" s="7" t="str">
        <f aca="false">IF(P159="",N159,P159)</f>
        <v>regra sem propriedade</v>
      </c>
      <c r="S159" s="7" t="str">
        <f aca="false">IF(P159="","",IF(P159=N159,"sim","não"))</f>
        <v/>
      </c>
      <c r="T159" s="10" t="s">
        <v>157</v>
      </c>
    </row>
    <row r="160" customFormat="false" ht="35.05" hidden="false" customHeight="false" outlineLevel="0" collapsed="false">
      <c r="A160" s="7" t="n">
        <v>158</v>
      </c>
      <c r="B160" s="7" t="s">
        <v>32</v>
      </c>
      <c r="C160" s="7" t="s">
        <v>33</v>
      </c>
      <c r="D160" s="7" t="s">
        <v>122</v>
      </c>
      <c r="E160" s="7" t="n">
        <v>92</v>
      </c>
      <c r="F160" s="7" t="s">
        <v>150</v>
      </c>
      <c r="G160" s="7" t="s">
        <v>58</v>
      </c>
      <c r="H160" s="7" t="s">
        <v>95</v>
      </c>
      <c r="I160" s="7" t="n">
        <v>0</v>
      </c>
      <c r="J160" s="8" t="n">
        <v>0</v>
      </c>
      <c r="K160" s="8" t="n">
        <v>0</v>
      </c>
      <c r="L160" s="8" t="n">
        <v>0</v>
      </c>
      <c r="M160" s="7" t="s">
        <v>38</v>
      </c>
      <c r="N160" s="7" t="s">
        <v>304</v>
      </c>
      <c r="O160" s="7" t="s">
        <v>305</v>
      </c>
      <c r="P160" s="9"/>
      <c r="Q160" s="9"/>
      <c r="R160" s="7" t="str">
        <f aca="false">IF(P160="",N160,P160)</f>
        <v>regra sem propriedade</v>
      </c>
      <c r="S160" s="7" t="str">
        <f aca="false">IF(P160="","",IF(P160=N160,"sim","não"))</f>
        <v/>
      </c>
      <c r="T160" s="10" t="s">
        <v>159</v>
      </c>
    </row>
    <row r="161" customFormat="false" ht="35.05" hidden="false" customHeight="false" outlineLevel="0" collapsed="false">
      <c r="A161" s="7" t="n">
        <v>159</v>
      </c>
      <c r="B161" s="7" t="s">
        <v>32</v>
      </c>
      <c r="C161" s="7" t="s">
        <v>33</v>
      </c>
      <c r="D161" s="7" t="s">
        <v>122</v>
      </c>
      <c r="E161" s="7" t="n">
        <v>92</v>
      </c>
      <c r="F161" s="7" t="s">
        <v>150</v>
      </c>
      <c r="G161" s="7" t="s">
        <v>58</v>
      </c>
      <c r="H161" s="7" t="s">
        <v>95</v>
      </c>
      <c r="I161" s="7" t="n">
        <v>0</v>
      </c>
      <c r="J161" s="8" t="n">
        <v>0</v>
      </c>
      <c r="K161" s="8" t="n">
        <v>0</v>
      </c>
      <c r="L161" s="8" t="n">
        <v>0</v>
      </c>
      <c r="M161" s="7" t="s">
        <v>38</v>
      </c>
      <c r="N161" s="7" t="s">
        <v>304</v>
      </c>
      <c r="O161" s="7" t="s">
        <v>305</v>
      </c>
      <c r="P161" s="9"/>
      <c r="Q161" s="9"/>
      <c r="R161" s="7" t="str">
        <f aca="false">IF(P161="",N161,P161)</f>
        <v>regra sem propriedade</v>
      </c>
      <c r="S161" s="7" t="str">
        <f aca="false">IF(P161="","",IF(P161=N161,"sim","não"))</f>
        <v/>
      </c>
      <c r="T161" s="10" t="s">
        <v>161</v>
      </c>
    </row>
    <row r="162" customFormat="false" ht="23.85" hidden="false" customHeight="false" outlineLevel="0" collapsed="false">
      <c r="A162" s="7" t="n">
        <v>160</v>
      </c>
      <c r="B162" s="7" t="s">
        <v>32</v>
      </c>
      <c r="C162" s="7" t="s">
        <v>33</v>
      </c>
      <c r="D162" s="7" t="s">
        <v>122</v>
      </c>
      <c r="E162" s="7" t="n">
        <v>93</v>
      </c>
      <c r="F162" s="7" t="s">
        <v>162</v>
      </c>
      <c r="G162" s="7" t="s">
        <v>36</v>
      </c>
      <c r="H162" s="7" t="s">
        <v>95</v>
      </c>
      <c r="I162" s="7" t="n">
        <v>0</v>
      </c>
      <c r="J162" s="8" t="n">
        <v>0</v>
      </c>
      <c r="K162" s="8" t="n">
        <v>0</v>
      </c>
      <c r="L162" s="8" t="n">
        <v>0</v>
      </c>
      <c r="M162" s="7" t="s">
        <v>38</v>
      </c>
      <c r="N162" s="7" t="s">
        <v>304</v>
      </c>
      <c r="O162" s="7" t="s">
        <v>305</v>
      </c>
      <c r="P162" s="9"/>
      <c r="Q162" s="9"/>
      <c r="R162" s="7" t="str">
        <f aca="false">IF(P162="",N162,P162)</f>
        <v>regra sem propriedade</v>
      </c>
      <c r="S162" s="7" t="str">
        <f aca="false">IF(P162="","",IF(P162=N162,"sim","não"))</f>
        <v/>
      </c>
      <c r="T162" s="10" t="s">
        <v>164</v>
      </c>
    </row>
    <row r="163" customFormat="false" ht="23.85" hidden="false" customHeight="false" outlineLevel="0" collapsed="false">
      <c r="A163" s="7" t="n">
        <v>161</v>
      </c>
      <c r="B163" s="7" t="s">
        <v>32</v>
      </c>
      <c r="C163" s="7" t="s">
        <v>33</v>
      </c>
      <c r="D163" s="7" t="s">
        <v>122</v>
      </c>
      <c r="E163" s="7" t="n">
        <v>93</v>
      </c>
      <c r="F163" s="7" t="s">
        <v>162</v>
      </c>
      <c r="G163" s="7" t="s">
        <v>73</v>
      </c>
      <c r="H163" s="7" t="s">
        <v>95</v>
      </c>
      <c r="I163" s="7" t="n">
        <v>0</v>
      </c>
      <c r="J163" s="8" t="n">
        <v>0</v>
      </c>
      <c r="K163" s="8" t="n">
        <v>0</v>
      </c>
      <c r="L163" s="8" t="n">
        <v>0</v>
      </c>
      <c r="M163" s="7" t="s">
        <v>38</v>
      </c>
      <c r="N163" s="7" t="s">
        <v>304</v>
      </c>
      <c r="O163" s="7" t="s">
        <v>305</v>
      </c>
      <c r="P163" s="9"/>
      <c r="Q163" s="9"/>
      <c r="R163" s="7" t="str">
        <f aca="false">IF(P163="",N163,P163)</f>
        <v>regra sem propriedade</v>
      </c>
      <c r="S163" s="7" t="str">
        <f aca="false">IF(P163="","",IF(P163=N163,"sim","não"))</f>
        <v/>
      </c>
      <c r="T163" s="10" t="s">
        <v>166</v>
      </c>
    </row>
    <row r="164" customFormat="false" ht="23.85" hidden="false" customHeight="false" outlineLevel="0" collapsed="false">
      <c r="A164" s="7" t="n">
        <v>162</v>
      </c>
      <c r="B164" s="7" t="s">
        <v>32</v>
      </c>
      <c r="C164" s="7" t="s">
        <v>33</v>
      </c>
      <c r="D164" s="7" t="s">
        <v>122</v>
      </c>
      <c r="E164" s="7" t="n">
        <v>93</v>
      </c>
      <c r="F164" s="7" t="s">
        <v>162</v>
      </c>
      <c r="G164" s="7" t="s">
        <v>58</v>
      </c>
      <c r="H164" s="7" t="s">
        <v>95</v>
      </c>
      <c r="I164" s="7" t="n">
        <v>0</v>
      </c>
      <c r="J164" s="8" t="n">
        <v>0</v>
      </c>
      <c r="K164" s="8" t="n">
        <v>0</v>
      </c>
      <c r="L164" s="8" t="n">
        <v>0</v>
      </c>
      <c r="M164" s="7" t="s">
        <v>38</v>
      </c>
      <c r="N164" s="7" t="s">
        <v>304</v>
      </c>
      <c r="O164" s="7" t="s">
        <v>305</v>
      </c>
      <c r="P164" s="9"/>
      <c r="Q164" s="9"/>
      <c r="R164" s="7" t="str">
        <f aca="false">IF(P164="",N164,P164)</f>
        <v>regra sem propriedade</v>
      </c>
      <c r="S164" s="7" t="str">
        <f aca="false">IF(P164="","",IF(P164=N164,"sim","não"))</f>
        <v/>
      </c>
      <c r="T164" s="10" t="s">
        <v>168</v>
      </c>
    </row>
    <row r="165" customFormat="false" ht="23.85" hidden="false" customHeight="false" outlineLevel="0" collapsed="false">
      <c r="A165" s="7" t="n">
        <v>163</v>
      </c>
      <c r="B165" s="7" t="s">
        <v>32</v>
      </c>
      <c r="C165" s="7" t="s">
        <v>33</v>
      </c>
      <c r="D165" s="7" t="s">
        <v>122</v>
      </c>
      <c r="E165" s="7" t="n">
        <v>94</v>
      </c>
      <c r="F165" s="7" t="s">
        <v>169</v>
      </c>
      <c r="G165" s="7" t="s">
        <v>73</v>
      </c>
      <c r="H165" s="7" t="s">
        <v>95</v>
      </c>
      <c r="I165" s="7" t="n">
        <v>0</v>
      </c>
      <c r="J165" s="8" t="n">
        <v>0</v>
      </c>
      <c r="K165" s="8" t="n">
        <v>0</v>
      </c>
      <c r="L165" s="8" t="n">
        <v>0</v>
      </c>
      <c r="M165" s="7" t="s">
        <v>38</v>
      </c>
      <c r="N165" s="7" t="s">
        <v>304</v>
      </c>
      <c r="O165" s="7" t="s">
        <v>305</v>
      </c>
      <c r="P165" s="9"/>
      <c r="Q165" s="9"/>
      <c r="R165" s="7" t="str">
        <f aca="false">IF(P165="",N165,P165)</f>
        <v>regra sem propriedade</v>
      </c>
      <c r="S165" s="7" t="str">
        <f aca="false">IF(P165="","",IF(P165=N165,"sim","não"))</f>
        <v/>
      </c>
      <c r="T165" s="10" t="s">
        <v>171</v>
      </c>
    </row>
    <row r="166" customFormat="false" ht="23.85" hidden="false" customHeight="false" outlineLevel="0" collapsed="false">
      <c r="A166" s="7" t="n">
        <v>164</v>
      </c>
      <c r="B166" s="7" t="s">
        <v>32</v>
      </c>
      <c r="C166" s="7" t="s">
        <v>33</v>
      </c>
      <c r="D166" s="7" t="s">
        <v>122</v>
      </c>
      <c r="E166" s="7" t="n">
        <v>94</v>
      </c>
      <c r="F166" s="7" t="s">
        <v>169</v>
      </c>
      <c r="G166" s="7" t="s">
        <v>49</v>
      </c>
      <c r="H166" s="7" t="s">
        <v>95</v>
      </c>
      <c r="I166" s="7" t="n">
        <v>0</v>
      </c>
      <c r="J166" s="8" t="n">
        <v>0</v>
      </c>
      <c r="K166" s="8" t="n">
        <v>0</v>
      </c>
      <c r="L166" s="8" t="n">
        <v>0</v>
      </c>
      <c r="M166" s="7" t="s">
        <v>38</v>
      </c>
      <c r="N166" s="7" t="s">
        <v>304</v>
      </c>
      <c r="O166" s="7" t="s">
        <v>305</v>
      </c>
      <c r="P166" s="9"/>
      <c r="Q166" s="9"/>
      <c r="R166" s="7" t="str">
        <f aca="false">IF(P166="",N166,P166)</f>
        <v>regra sem propriedade</v>
      </c>
      <c r="S166" s="7" t="str">
        <f aca="false">IF(P166="","",IF(P166=N166,"sim","não"))</f>
        <v/>
      </c>
      <c r="T166" s="10" t="s">
        <v>329</v>
      </c>
    </row>
    <row r="167" customFormat="false" ht="23.85" hidden="false" customHeight="false" outlineLevel="0" collapsed="false">
      <c r="A167" s="7" t="n">
        <v>165</v>
      </c>
      <c r="B167" s="7" t="s">
        <v>32</v>
      </c>
      <c r="C167" s="7" t="s">
        <v>33</v>
      </c>
      <c r="D167" s="7" t="s">
        <v>122</v>
      </c>
      <c r="E167" s="7" t="n">
        <v>94</v>
      </c>
      <c r="F167" s="7" t="s">
        <v>169</v>
      </c>
      <c r="G167" s="7" t="s">
        <v>49</v>
      </c>
      <c r="H167" s="7" t="s">
        <v>95</v>
      </c>
      <c r="I167" s="7" t="n">
        <v>0</v>
      </c>
      <c r="J167" s="8" t="n">
        <v>0</v>
      </c>
      <c r="K167" s="8" t="n">
        <v>0</v>
      </c>
      <c r="L167" s="8" t="n">
        <v>0</v>
      </c>
      <c r="M167" s="7" t="s">
        <v>38</v>
      </c>
      <c r="N167" s="7" t="s">
        <v>304</v>
      </c>
      <c r="O167" s="7" t="s">
        <v>305</v>
      </c>
      <c r="P167" s="9"/>
      <c r="Q167" s="9"/>
      <c r="R167" s="7" t="str">
        <f aca="false">IF(P167="",N167,P167)</f>
        <v>regra sem propriedade</v>
      </c>
      <c r="S167" s="7" t="str">
        <f aca="false">IF(P167="","",IF(P167=N167,"sim","não"))</f>
        <v/>
      </c>
      <c r="T167" s="10" t="s">
        <v>173</v>
      </c>
    </row>
    <row r="168" customFormat="false" ht="23.85" hidden="false" customHeight="false" outlineLevel="0" collapsed="false">
      <c r="A168" s="7" t="n">
        <v>166</v>
      </c>
      <c r="B168" s="7" t="s">
        <v>32</v>
      </c>
      <c r="C168" s="7" t="s">
        <v>33</v>
      </c>
      <c r="D168" s="7" t="s">
        <v>122</v>
      </c>
      <c r="E168" s="7" t="n">
        <v>94</v>
      </c>
      <c r="F168" s="7" t="s">
        <v>169</v>
      </c>
      <c r="G168" s="7" t="s">
        <v>49</v>
      </c>
      <c r="H168" s="7" t="s">
        <v>95</v>
      </c>
      <c r="I168" s="7" t="n">
        <v>0</v>
      </c>
      <c r="J168" s="8" t="n">
        <v>0</v>
      </c>
      <c r="K168" s="8" t="n">
        <v>0</v>
      </c>
      <c r="L168" s="8" t="n">
        <v>0</v>
      </c>
      <c r="M168" s="7" t="s">
        <v>38</v>
      </c>
      <c r="N168" s="7" t="s">
        <v>304</v>
      </c>
      <c r="O168" s="7" t="s">
        <v>305</v>
      </c>
      <c r="P168" s="9"/>
      <c r="Q168" s="9"/>
      <c r="R168" s="7" t="str">
        <f aca="false">IF(P168="",N168,P168)</f>
        <v>regra sem propriedade</v>
      </c>
      <c r="S168" s="7" t="str">
        <f aca="false">IF(P168="","",IF(P168=N168,"sim","não"))</f>
        <v/>
      </c>
      <c r="T168" s="10" t="s">
        <v>174</v>
      </c>
    </row>
    <row r="169" customFormat="false" ht="23.85" hidden="false" customHeight="false" outlineLevel="0" collapsed="false">
      <c r="A169" s="7" t="n">
        <v>167</v>
      </c>
      <c r="B169" s="7" t="s">
        <v>32</v>
      </c>
      <c r="C169" s="7" t="s">
        <v>33</v>
      </c>
      <c r="D169" s="7" t="s">
        <v>122</v>
      </c>
      <c r="E169" s="7" t="n">
        <v>94</v>
      </c>
      <c r="F169" s="7" t="s">
        <v>169</v>
      </c>
      <c r="G169" s="7" t="s">
        <v>58</v>
      </c>
      <c r="H169" s="7" t="s">
        <v>95</v>
      </c>
      <c r="I169" s="7" t="n">
        <v>0</v>
      </c>
      <c r="J169" s="8" t="n">
        <v>0</v>
      </c>
      <c r="K169" s="8" t="n">
        <v>0</v>
      </c>
      <c r="L169" s="8" t="n">
        <v>0</v>
      </c>
      <c r="M169" s="7" t="s">
        <v>38</v>
      </c>
      <c r="N169" s="7" t="s">
        <v>304</v>
      </c>
      <c r="O169" s="7" t="s">
        <v>305</v>
      </c>
      <c r="P169" s="9"/>
      <c r="Q169" s="9"/>
      <c r="R169" s="7" t="str">
        <f aca="false">IF(P169="",N169,P169)</f>
        <v>regra sem propriedade</v>
      </c>
      <c r="S169" s="7" t="str">
        <f aca="false">IF(P169="","",IF(P169=N169,"sim","não"))</f>
        <v/>
      </c>
      <c r="T169" s="10" t="s">
        <v>175</v>
      </c>
    </row>
    <row r="170" customFormat="false" ht="35.05" hidden="false" customHeight="false" outlineLevel="0" collapsed="false">
      <c r="A170" s="7" t="n">
        <v>168</v>
      </c>
      <c r="B170" s="7" t="s">
        <v>32</v>
      </c>
      <c r="C170" s="7" t="s">
        <v>33</v>
      </c>
      <c r="D170" s="7" t="s">
        <v>122</v>
      </c>
      <c r="E170" s="7" t="n">
        <v>99</v>
      </c>
      <c r="F170" s="7" t="s">
        <v>176</v>
      </c>
      <c r="G170" s="7" t="s">
        <v>177</v>
      </c>
      <c r="H170" s="7" t="s">
        <v>95</v>
      </c>
      <c r="I170" s="7" t="n">
        <v>0</v>
      </c>
      <c r="J170" s="8" t="n">
        <v>0</v>
      </c>
      <c r="K170" s="8" t="n">
        <v>0</v>
      </c>
      <c r="L170" s="8" t="n">
        <v>0</v>
      </c>
      <c r="M170" s="7" t="s">
        <v>38</v>
      </c>
      <c r="N170" s="7" t="s">
        <v>304</v>
      </c>
      <c r="O170" s="7" t="s">
        <v>305</v>
      </c>
      <c r="P170" s="9"/>
      <c r="Q170" s="9"/>
      <c r="R170" s="7" t="str">
        <f aca="false">IF(P170="",N170,P170)</f>
        <v>regra sem propriedade</v>
      </c>
      <c r="S170" s="7" t="str">
        <f aca="false">IF(P170="","",IF(P170=N170,"sim","não"))</f>
        <v/>
      </c>
      <c r="T170" s="10" t="s">
        <v>179</v>
      </c>
    </row>
    <row r="171" customFormat="false" ht="35.05" hidden="false" customHeight="false" outlineLevel="0" collapsed="false">
      <c r="A171" s="7" t="n">
        <v>169</v>
      </c>
      <c r="B171" s="7" t="s">
        <v>32</v>
      </c>
      <c r="C171" s="7" t="s">
        <v>33</v>
      </c>
      <c r="D171" s="7" t="s">
        <v>122</v>
      </c>
      <c r="E171" s="7" t="n">
        <v>107</v>
      </c>
      <c r="F171" s="7" t="s">
        <v>180</v>
      </c>
      <c r="G171" s="7" t="s">
        <v>181</v>
      </c>
      <c r="H171" s="7" t="s">
        <v>182</v>
      </c>
      <c r="I171" s="7" t="n">
        <v>0</v>
      </c>
      <c r="J171" s="8" t="n">
        <v>0</v>
      </c>
      <c r="K171" s="8" t="n">
        <v>0</v>
      </c>
      <c r="L171" s="8" t="n">
        <v>0</v>
      </c>
      <c r="M171" s="7" t="s">
        <v>38</v>
      </c>
      <c r="N171" s="7" t="s">
        <v>304</v>
      </c>
      <c r="O171" s="7" t="s">
        <v>330</v>
      </c>
      <c r="P171" s="9"/>
      <c r="Q171" s="9"/>
      <c r="R171" s="7" t="str">
        <f aca="false">IF(P171="",N171,P171)</f>
        <v>regra sem propriedade</v>
      </c>
      <c r="S171" s="7" t="str">
        <f aca="false">IF(P171="","",IF(P171=N171,"sim","não"))</f>
        <v/>
      </c>
      <c r="T171" s="10" t="s">
        <v>183</v>
      </c>
    </row>
    <row r="172" customFormat="false" ht="23.85" hidden="false" customHeight="false" outlineLevel="0" collapsed="false">
      <c r="A172" s="7" t="n">
        <v>170</v>
      </c>
      <c r="B172" s="7" t="s">
        <v>32</v>
      </c>
      <c r="C172" s="7" t="s">
        <v>33</v>
      </c>
      <c r="D172" s="7" t="s">
        <v>122</v>
      </c>
      <c r="E172" s="7" t="n">
        <v>115</v>
      </c>
      <c r="F172" s="7" t="s">
        <v>331</v>
      </c>
      <c r="G172" s="7" t="s">
        <v>73</v>
      </c>
      <c r="H172" s="7" t="s">
        <v>147</v>
      </c>
      <c r="I172" s="7" t="n">
        <v>0</v>
      </c>
      <c r="J172" s="8" t="n">
        <v>0</v>
      </c>
      <c r="K172" s="8" t="n">
        <v>0</v>
      </c>
      <c r="L172" s="8" t="n">
        <v>0</v>
      </c>
      <c r="M172" s="7" t="s">
        <v>38</v>
      </c>
      <c r="N172" s="7" t="s">
        <v>304</v>
      </c>
      <c r="O172" s="7" t="s">
        <v>318</v>
      </c>
      <c r="P172" s="9"/>
      <c r="Q172" s="9"/>
      <c r="R172" s="7" t="str">
        <f aca="false">IF(P172="",N172,P172)</f>
        <v>regra sem propriedade</v>
      </c>
      <c r="S172" s="7" t="str">
        <f aca="false">IF(P172="","",IF(P172=N172,"sim","não"))</f>
        <v/>
      </c>
      <c r="T172" s="10" t="s">
        <v>332</v>
      </c>
    </row>
    <row r="173" customFormat="false" ht="35.05" hidden="false" customHeight="false" outlineLevel="0" collapsed="false">
      <c r="A173" s="7" t="n">
        <v>171</v>
      </c>
      <c r="B173" s="7" t="s">
        <v>32</v>
      </c>
      <c r="C173" s="7" t="s">
        <v>33</v>
      </c>
      <c r="D173" s="7" t="s">
        <v>122</v>
      </c>
      <c r="E173" s="7" t="n">
        <v>125</v>
      </c>
      <c r="F173" s="7" t="s">
        <v>184</v>
      </c>
      <c r="G173" s="7" t="s">
        <v>181</v>
      </c>
      <c r="H173" s="7" t="s">
        <v>185</v>
      </c>
      <c r="I173" s="7" t="n">
        <v>0</v>
      </c>
      <c r="J173" s="8" t="n">
        <v>0</v>
      </c>
      <c r="K173" s="8" t="n">
        <v>0</v>
      </c>
      <c r="L173" s="8" t="n">
        <v>0</v>
      </c>
      <c r="M173" s="7" t="s">
        <v>38</v>
      </c>
      <c r="N173" s="7" t="s">
        <v>304</v>
      </c>
      <c r="O173" s="7" t="s">
        <v>333</v>
      </c>
      <c r="P173" s="9"/>
      <c r="Q173" s="9"/>
      <c r="R173" s="7" t="str">
        <f aca="false">IF(P173="",N173,P173)</f>
        <v>regra sem propriedade</v>
      </c>
      <c r="S173" s="7" t="str">
        <f aca="false">IF(P173="","",IF(P173=N173,"sim","não"))</f>
        <v/>
      </c>
      <c r="T173" s="10" t="s">
        <v>186</v>
      </c>
    </row>
    <row r="174" customFormat="false" ht="23.85" hidden="false" customHeight="false" outlineLevel="0" collapsed="false">
      <c r="A174" s="7" t="n">
        <v>172</v>
      </c>
      <c r="B174" s="7" t="s">
        <v>32</v>
      </c>
      <c r="C174" s="7" t="s">
        <v>33</v>
      </c>
      <c r="D174" s="7" t="s">
        <v>122</v>
      </c>
      <c r="E174" s="7" t="n">
        <v>126</v>
      </c>
      <c r="F174" s="7" t="s">
        <v>187</v>
      </c>
      <c r="G174" s="7" t="s">
        <v>36</v>
      </c>
      <c r="H174" s="7" t="s">
        <v>185</v>
      </c>
      <c r="I174" s="7" t="n">
        <v>0</v>
      </c>
      <c r="J174" s="8" t="n">
        <v>0</v>
      </c>
      <c r="K174" s="8" t="n">
        <v>0</v>
      </c>
      <c r="L174" s="8" t="n">
        <v>0</v>
      </c>
      <c r="M174" s="7" t="s">
        <v>38</v>
      </c>
      <c r="N174" s="7" t="s">
        <v>304</v>
      </c>
      <c r="O174" s="7" t="s">
        <v>333</v>
      </c>
      <c r="P174" s="9"/>
      <c r="Q174" s="9"/>
      <c r="R174" s="7" t="str">
        <f aca="false">IF(P174="",N174,P174)</f>
        <v>regra sem propriedade</v>
      </c>
      <c r="S174" s="7" t="str">
        <f aca="false">IF(P174="","",IF(P174=N174,"sim","não"))</f>
        <v/>
      </c>
      <c r="T174" s="10" t="s">
        <v>189</v>
      </c>
    </row>
    <row r="175" customFormat="false" ht="23.85" hidden="false" customHeight="false" outlineLevel="0" collapsed="false">
      <c r="A175" s="7" t="n">
        <v>173</v>
      </c>
      <c r="B175" s="7" t="s">
        <v>32</v>
      </c>
      <c r="C175" s="7" t="s">
        <v>33</v>
      </c>
      <c r="D175" s="7" t="s">
        <v>122</v>
      </c>
      <c r="E175" s="7" t="n">
        <v>126</v>
      </c>
      <c r="F175" s="7" t="s">
        <v>187</v>
      </c>
      <c r="G175" s="7" t="s">
        <v>55</v>
      </c>
      <c r="H175" s="7" t="s">
        <v>185</v>
      </c>
      <c r="I175" s="7" t="n">
        <v>0</v>
      </c>
      <c r="J175" s="8" t="n">
        <v>0</v>
      </c>
      <c r="K175" s="8" t="n">
        <v>0</v>
      </c>
      <c r="L175" s="8" t="n">
        <v>0</v>
      </c>
      <c r="M175" s="7" t="s">
        <v>38</v>
      </c>
      <c r="N175" s="7" t="s">
        <v>304</v>
      </c>
      <c r="O175" s="7" t="s">
        <v>333</v>
      </c>
      <c r="P175" s="9"/>
      <c r="Q175" s="9"/>
      <c r="R175" s="7" t="str">
        <f aca="false">IF(P175="",N175,P175)</f>
        <v>regra sem propriedade</v>
      </c>
      <c r="S175" s="7" t="str">
        <f aca="false">IF(P175="","",IF(P175=N175,"sim","não"))</f>
        <v/>
      </c>
      <c r="T175" s="10" t="s">
        <v>190</v>
      </c>
    </row>
    <row r="176" customFormat="false" ht="23.85" hidden="false" customHeight="false" outlineLevel="0" collapsed="false">
      <c r="A176" s="7" t="n">
        <v>174</v>
      </c>
      <c r="B176" s="7" t="s">
        <v>32</v>
      </c>
      <c r="C176" s="7" t="s">
        <v>33</v>
      </c>
      <c r="D176" s="7" t="s">
        <v>122</v>
      </c>
      <c r="E176" s="7" t="n">
        <v>130</v>
      </c>
      <c r="F176" s="7" t="s">
        <v>191</v>
      </c>
      <c r="G176" s="7" t="s">
        <v>73</v>
      </c>
      <c r="H176" s="7" t="s">
        <v>185</v>
      </c>
      <c r="I176" s="7" t="n">
        <v>0</v>
      </c>
      <c r="J176" s="8" t="n">
        <v>0</v>
      </c>
      <c r="K176" s="8" t="n">
        <v>0</v>
      </c>
      <c r="L176" s="8" t="n">
        <v>0</v>
      </c>
      <c r="M176" s="7" t="s">
        <v>38</v>
      </c>
      <c r="N176" s="7" t="s">
        <v>304</v>
      </c>
      <c r="O176" s="7" t="s">
        <v>333</v>
      </c>
      <c r="P176" s="9"/>
      <c r="Q176" s="9"/>
      <c r="R176" s="7" t="str">
        <f aca="false">IF(P176="",N176,P176)</f>
        <v>regra sem propriedade</v>
      </c>
      <c r="S176" s="7" t="str">
        <f aca="false">IF(P176="","",IF(P176=N176,"sim","não"))</f>
        <v/>
      </c>
      <c r="T176" s="10" t="s">
        <v>192</v>
      </c>
    </row>
    <row r="177" customFormat="false" ht="57.45" hidden="false" customHeight="false" outlineLevel="0" collapsed="false">
      <c r="A177" s="7" t="n">
        <v>175</v>
      </c>
      <c r="B177" s="7" t="s">
        <v>32</v>
      </c>
      <c r="C177" s="7" t="s">
        <v>33</v>
      </c>
      <c r="D177" s="7" t="s">
        <v>122</v>
      </c>
      <c r="E177" s="7" t="n">
        <v>134</v>
      </c>
      <c r="F177" s="7" t="s">
        <v>236</v>
      </c>
      <c r="G177" s="7" t="s">
        <v>237</v>
      </c>
      <c r="H177" s="7" t="s">
        <v>185</v>
      </c>
      <c r="I177" s="7" t="n">
        <v>0</v>
      </c>
      <c r="J177" s="8" t="n">
        <v>0</v>
      </c>
      <c r="K177" s="8" t="n">
        <v>0</v>
      </c>
      <c r="L177" s="8" t="n">
        <v>0</v>
      </c>
      <c r="M177" s="7" t="s">
        <v>211</v>
      </c>
      <c r="N177" s="7" t="s">
        <v>304</v>
      </c>
      <c r="O177" s="7" t="s">
        <v>334</v>
      </c>
      <c r="P177" s="9"/>
      <c r="Q177" s="9"/>
      <c r="R177" s="7" t="str">
        <f aca="false">IF(P177="",N177,P177)</f>
        <v>regra sem propriedade</v>
      </c>
      <c r="S177" s="7" t="str">
        <f aca="false">IF(P177="","",IF(P177=N177,"sim","não"))</f>
        <v/>
      </c>
      <c r="T177" s="10" t="s">
        <v>238</v>
      </c>
    </row>
    <row r="178" customFormat="false" ht="35.05" hidden="false" customHeight="false" outlineLevel="0" collapsed="false">
      <c r="A178" s="7" t="n">
        <v>176</v>
      </c>
      <c r="B178" s="7" t="s">
        <v>32</v>
      </c>
      <c r="C178" s="7" t="s">
        <v>33</v>
      </c>
      <c r="D178" s="7" t="s">
        <v>122</v>
      </c>
      <c r="E178" s="7" t="n">
        <v>140</v>
      </c>
      <c r="F178" s="7" t="s">
        <v>272</v>
      </c>
      <c r="G178" s="7" t="s">
        <v>273</v>
      </c>
      <c r="H178" s="7" t="s">
        <v>240</v>
      </c>
      <c r="I178" s="7" t="n">
        <v>0</v>
      </c>
      <c r="J178" s="8" t="n">
        <v>0</v>
      </c>
      <c r="K178" s="8" t="n">
        <v>0</v>
      </c>
      <c r="L178" s="8" t="n">
        <v>0</v>
      </c>
      <c r="M178" s="7" t="s">
        <v>38</v>
      </c>
      <c r="N178" s="7" t="s">
        <v>304</v>
      </c>
      <c r="O178" s="7" t="s">
        <v>313</v>
      </c>
      <c r="P178" s="9"/>
      <c r="Q178" s="9"/>
      <c r="R178" s="7" t="str">
        <f aca="false">IF(P178="",N178,P178)</f>
        <v>regra sem propriedade</v>
      </c>
      <c r="S178" s="7" t="str">
        <f aca="false">IF(P178="","",IF(P178=N178,"sim","não"))</f>
        <v/>
      </c>
      <c r="T178" s="10" t="s">
        <v>335</v>
      </c>
    </row>
    <row r="179" customFormat="false" ht="35.05" hidden="false" customHeight="false" outlineLevel="0" collapsed="false">
      <c r="A179" s="7" t="n">
        <v>177</v>
      </c>
      <c r="B179" s="7" t="s">
        <v>32</v>
      </c>
      <c r="C179" s="7" t="s">
        <v>33</v>
      </c>
      <c r="D179" s="7" t="s">
        <v>122</v>
      </c>
      <c r="E179" s="7" t="n">
        <v>141</v>
      </c>
      <c r="F179" s="7" t="s">
        <v>336</v>
      </c>
      <c r="G179" s="7" t="s">
        <v>337</v>
      </c>
      <c r="H179" s="7" t="s">
        <v>240</v>
      </c>
      <c r="I179" s="7" t="n">
        <v>0</v>
      </c>
      <c r="J179" s="8" t="n">
        <v>0</v>
      </c>
      <c r="K179" s="8" t="n">
        <v>0</v>
      </c>
      <c r="L179" s="8" t="n">
        <v>0</v>
      </c>
      <c r="M179" s="7" t="s">
        <v>38</v>
      </c>
      <c r="N179" s="7" t="s">
        <v>304</v>
      </c>
      <c r="O179" s="7" t="s">
        <v>313</v>
      </c>
      <c r="P179" s="9"/>
      <c r="Q179" s="9"/>
      <c r="R179" s="7" t="str">
        <f aca="false">IF(P179="",N179,P179)</f>
        <v>regra sem propriedade</v>
      </c>
      <c r="S179" s="7" t="str">
        <f aca="false">IF(P179="","",IF(P179=N179,"sim","não"))</f>
        <v/>
      </c>
      <c r="T179" s="10" t="s">
        <v>338</v>
      </c>
    </row>
    <row r="180" customFormat="false" ht="57.45" hidden="false" customHeight="false" outlineLevel="0" collapsed="false">
      <c r="A180" s="7" t="n">
        <v>178</v>
      </c>
      <c r="B180" s="7" t="s">
        <v>32</v>
      </c>
      <c r="C180" s="7" t="s">
        <v>33</v>
      </c>
      <c r="D180" s="7" t="s">
        <v>122</v>
      </c>
      <c r="E180" s="7" t="n">
        <v>142</v>
      </c>
      <c r="F180" s="7" t="s">
        <v>236</v>
      </c>
      <c r="G180" s="7" t="s">
        <v>239</v>
      </c>
      <c r="H180" s="7" t="s">
        <v>240</v>
      </c>
      <c r="I180" s="7" t="n">
        <v>0</v>
      </c>
      <c r="J180" s="8" t="n">
        <v>0</v>
      </c>
      <c r="K180" s="8" t="n">
        <v>0</v>
      </c>
      <c r="L180" s="8" t="n">
        <v>0</v>
      </c>
      <c r="M180" s="7" t="s">
        <v>211</v>
      </c>
      <c r="N180" s="7" t="s">
        <v>304</v>
      </c>
      <c r="O180" s="7" t="s">
        <v>339</v>
      </c>
      <c r="P180" s="9"/>
      <c r="Q180" s="9"/>
      <c r="R180" s="7" t="str">
        <f aca="false">IF(P180="",N180,P180)</f>
        <v>regra sem propriedade</v>
      </c>
      <c r="S180" s="7" t="str">
        <f aca="false">IF(P180="","",IF(P180=N180,"sim","não"))</f>
        <v/>
      </c>
      <c r="T180" s="10" t="s">
        <v>241</v>
      </c>
    </row>
    <row r="181" customFormat="false" ht="23.85" hidden="false" customHeight="false" outlineLevel="0" collapsed="false">
      <c r="A181" s="7" t="n">
        <v>179</v>
      </c>
      <c r="B181" s="7" t="s">
        <v>32</v>
      </c>
      <c r="C181" s="7" t="s">
        <v>33</v>
      </c>
      <c r="D181" s="7" t="s">
        <v>122</v>
      </c>
      <c r="E181" s="7" t="n">
        <v>160</v>
      </c>
      <c r="F181" s="7" t="s">
        <v>197</v>
      </c>
      <c r="G181" s="7" t="s">
        <v>73</v>
      </c>
      <c r="H181" s="7" t="s">
        <v>198</v>
      </c>
      <c r="I181" s="7" t="n">
        <v>0</v>
      </c>
      <c r="J181" s="8" t="n">
        <v>0</v>
      </c>
      <c r="K181" s="8" t="n">
        <v>0</v>
      </c>
      <c r="L181" s="8" t="n">
        <v>0</v>
      </c>
      <c r="M181" s="7" t="s">
        <v>38</v>
      </c>
      <c r="N181" s="7" t="s">
        <v>304</v>
      </c>
      <c r="O181" s="7" t="s">
        <v>340</v>
      </c>
      <c r="P181" s="9"/>
      <c r="Q181" s="9"/>
      <c r="R181" s="7" t="str">
        <f aca="false">IF(P181="",N181,P181)</f>
        <v>regra sem propriedade</v>
      </c>
      <c r="S181" s="7" t="str">
        <f aca="false">IF(P181="","",IF(P181=N181,"sim","não"))</f>
        <v/>
      </c>
      <c r="T181" s="10" t="s">
        <v>199</v>
      </c>
    </row>
    <row r="182" customFormat="false" ht="23.85" hidden="false" customHeight="false" outlineLevel="0" collapsed="false">
      <c r="A182" s="7" t="n">
        <v>180</v>
      </c>
      <c r="B182" s="7" t="s">
        <v>32</v>
      </c>
      <c r="C182" s="7" t="s">
        <v>33</v>
      </c>
      <c r="D182" s="7" t="s">
        <v>122</v>
      </c>
      <c r="E182" s="7" t="n">
        <v>227</v>
      </c>
      <c r="F182" s="7" t="s">
        <v>341</v>
      </c>
      <c r="G182" s="7" t="s">
        <v>73</v>
      </c>
      <c r="H182" s="7" t="s">
        <v>233</v>
      </c>
      <c r="I182" s="7" t="n">
        <v>0</v>
      </c>
      <c r="J182" s="8" t="n">
        <v>0</v>
      </c>
      <c r="K182" s="8" t="n">
        <v>0</v>
      </c>
      <c r="L182" s="8" t="n">
        <v>0</v>
      </c>
      <c r="M182" s="7" t="s">
        <v>38</v>
      </c>
      <c r="N182" s="7" t="s">
        <v>304</v>
      </c>
      <c r="O182" s="7" t="s">
        <v>322</v>
      </c>
      <c r="P182" s="9"/>
      <c r="Q182" s="9"/>
      <c r="R182" s="7" t="str">
        <f aca="false">IF(P182="",N182,P182)</f>
        <v>regra sem propriedade</v>
      </c>
      <c r="S182" s="7" t="str">
        <f aca="false">IF(P182="","",IF(P182=N182,"sim","não"))</f>
        <v/>
      </c>
      <c r="T182" s="10" t="s">
        <v>342</v>
      </c>
    </row>
    <row r="183" customFormat="false" ht="23.85" hidden="false" customHeight="false" outlineLevel="0" collapsed="false">
      <c r="A183" s="7" t="n">
        <v>181</v>
      </c>
      <c r="B183" s="7" t="s">
        <v>343</v>
      </c>
      <c r="C183" s="7" t="s">
        <v>42</v>
      </c>
      <c r="D183" s="7" t="s">
        <v>344</v>
      </c>
      <c r="E183" s="7" t="n">
        <v>18</v>
      </c>
      <c r="F183" s="7" t="s">
        <v>345</v>
      </c>
      <c r="G183" s="7" t="s">
        <v>346</v>
      </c>
      <c r="H183" s="7" t="s">
        <v>37</v>
      </c>
      <c r="I183" s="7" t="n">
        <v>86</v>
      </c>
      <c r="J183" s="8" t="n">
        <v>0.867</v>
      </c>
      <c r="K183" s="8" t="n">
        <v>1</v>
      </c>
      <c r="L183" s="8" t="n">
        <v>1</v>
      </c>
      <c r="M183" s="7" t="s">
        <v>38</v>
      </c>
      <c r="N183" s="7" t="s">
        <v>39</v>
      </c>
      <c r="O183" s="7" t="s">
        <v>347</v>
      </c>
      <c r="P183" s="9"/>
      <c r="Q183" s="9"/>
      <c r="R183" s="7" t="str">
        <f aca="false">IF(P183="",N183,P183)</f>
        <v>entrada não gerada</v>
      </c>
      <c r="S183" s="7" t="str">
        <f aca="false">IF(P183="","",IF(P183=N183,"sim","não"))</f>
        <v/>
      </c>
      <c r="T183" s="10" t="s">
        <v>348</v>
      </c>
    </row>
    <row r="184" customFormat="false" ht="23.85" hidden="false" customHeight="false" outlineLevel="0" collapsed="false">
      <c r="A184" s="7" t="n">
        <v>182</v>
      </c>
      <c r="B184" s="7" t="s">
        <v>343</v>
      </c>
      <c r="C184" s="7" t="s">
        <v>42</v>
      </c>
      <c r="D184" s="7" t="s">
        <v>344</v>
      </c>
      <c r="E184" s="7" t="n">
        <v>21</v>
      </c>
      <c r="F184" s="7" t="s">
        <v>349</v>
      </c>
      <c r="G184" s="7" t="s">
        <v>350</v>
      </c>
      <c r="H184" s="7" t="s">
        <v>37</v>
      </c>
      <c r="I184" s="7" t="n">
        <v>89</v>
      </c>
      <c r="J184" s="8" t="n">
        <v>0.967</v>
      </c>
      <c r="K184" s="8" t="n">
        <v>1</v>
      </c>
      <c r="L184" s="8" t="n">
        <v>1</v>
      </c>
      <c r="M184" s="7" t="s">
        <v>38</v>
      </c>
      <c r="N184" s="7" t="s">
        <v>39</v>
      </c>
      <c r="O184" s="7" t="s">
        <v>56</v>
      </c>
      <c r="P184" s="9"/>
      <c r="Q184" s="9"/>
      <c r="R184" s="7" t="str">
        <f aca="false">IF(P184="",N184,P184)</f>
        <v>entrada não gerada</v>
      </c>
      <c r="S184" s="7" t="str">
        <f aca="false">IF(P184="","",IF(P184=N184,"sim","não"))</f>
        <v/>
      </c>
      <c r="T184" s="10" t="s">
        <v>351</v>
      </c>
    </row>
    <row r="185" customFormat="false" ht="23.85" hidden="false" customHeight="false" outlineLevel="0" collapsed="false">
      <c r="A185" s="7" t="n">
        <v>183</v>
      </c>
      <c r="B185" s="7" t="s">
        <v>343</v>
      </c>
      <c r="C185" s="7" t="s">
        <v>42</v>
      </c>
      <c r="D185" s="7" t="s">
        <v>344</v>
      </c>
      <c r="E185" s="7" t="n">
        <v>21</v>
      </c>
      <c r="F185" s="7" t="s">
        <v>349</v>
      </c>
      <c r="G185" s="7" t="s">
        <v>346</v>
      </c>
      <c r="H185" s="7" t="s">
        <v>37</v>
      </c>
      <c r="I185" s="7" t="n">
        <v>84</v>
      </c>
      <c r="J185" s="8" t="n">
        <v>0.8</v>
      </c>
      <c r="K185" s="8" t="n">
        <v>1</v>
      </c>
      <c r="L185" s="8" t="n">
        <v>1</v>
      </c>
      <c r="M185" s="7" t="s">
        <v>38</v>
      </c>
      <c r="N185" s="7" t="s">
        <v>39</v>
      </c>
      <c r="O185" s="7" t="s">
        <v>172</v>
      </c>
      <c r="P185" s="9"/>
      <c r="Q185" s="9"/>
      <c r="R185" s="7" t="str">
        <f aca="false">IF(P185="",N185,P185)</f>
        <v>entrada não gerada</v>
      </c>
      <c r="S185" s="7" t="str">
        <f aca="false">IF(P185="","",IF(P185=N185,"sim","não"))</f>
        <v/>
      </c>
      <c r="T185" s="10" t="s">
        <v>352</v>
      </c>
    </row>
    <row r="186" customFormat="false" ht="28.35" hidden="false" customHeight="false" outlineLevel="0" collapsed="false">
      <c r="A186" s="7" t="n">
        <v>184</v>
      </c>
      <c r="B186" s="7" t="s">
        <v>343</v>
      </c>
      <c r="C186" s="7" t="s">
        <v>42</v>
      </c>
      <c r="D186" s="7" t="s">
        <v>344</v>
      </c>
      <c r="E186" s="7" t="n">
        <v>21</v>
      </c>
      <c r="F186" s="7" t="s">
        <v>349</v>
      </c>
      <c r="G186" s="7" t="s">
        <v>353</v>
      </c>
      <c r="H186" s="7" t="s">
        <v>37</v>
      </c>
      <c r="I186" s="7" t="n">
        <v>47</v>
      </c>
      <c r="J186" s="8" t="n">
        <v>0.033</v>
      </c>
      <c r="K186" s="8" t="n">
        <v>0.533</v>
      </c>
      <c r="L186" s="8" t="n">
        <v>1</v>
      </c>
      <c r="M186" s="7" t="s">
        <v>38</v>
      </c>
      <c r="N186" s="7" t="s">
        <v>39</v>
      </c>
      <c r="O186" s="7" t="s">
        <v>354</v>
      </c>
      <c r="P186" s="9"/>
      <c r="Q186" s="9"/>
      <c r="R186" s="7" t="str">
        <f aca="false">IF(P186="",N186,P186)</f>
        <v>entrada não gerada</v>
      </c>
      <c r="S186" s="7" t="str">
        <f aca="false">IF(P186="","",IF(P186=N186,"sim","não"))</f>
        <v/>
      </c>
      <c r="T186" s="10" t="s">
        <v>355</v>
      </c>
    </row>
    <row r="187" customFormat="false" ht="23.85" hidden="false" customHeight="false" outlineLevel="0" collapsed="false">
      <c r="A187" s="7" t="n">
        <v>185</v>
      </c>
      <c r="B187" s="7" t="s">
        <v>343</v>
      </c>
      <c r="C187" s="7" t="s">
        <v>42</v>
      </c>
      <c r="D187" s="7" t="s">
        <v>344</v>
      </c>
      <c r="E187" s="7" t="n">
        <v>24</v>
      </c>
      <c r="F187" s="7" t="s">
        <v>356</v>
      </c>
      <c r="G187" s="7" t="s">
        <v>350</v>
      </c>
      <c r="H187" s="7" t="s">
        <v>37</v>
      </c>
      <c r="I187" s="7" t="n">
        <v>77</v>
      </c>
      <c r="J187" s="8" t="n">
        <v>0.567</v>
      </c>
      <c r="K187" s="8" t="n">
        <v>1</v>
      </c>
      <c r="L187" s="8" t="n">
        <v>1</v>
      </c>
      <c r="M187" s="7" t="s">
        <v>38</v>
      </c>
      <c r="N187" s="7" t="s">
        <v>39</v>
      </c>
      <c r="O187" s="7" t="s">
        <v>194</v>
      </c>
      <c r="P187" s="9"/>
      <c r="Q187" s="9"/>
      <c r="R187" s="7" t="str">
        <f aca="false">IF(P187="",N187,P187)</f>
        <v>entrada não gerada</v>
      </c>
      <c r="S187" s="7" t="str">
        <f aca="false">IF(P187="","",IF(P187=N187,"sim","não"))</f>
        <v/>
      </c>
      <c r="T187" s="10" t="s">
        <v>357</v>
      </c>
    </row>
    <row r="188" customFormat="false" ht="23.85" hidden="false" customHeight="false" outlineLevel="0" collapsed="false">
      <c r="A188" s="7" t="n">
        <v>186</v>
      </c>
      <c r="B188" s="7" t="s">
        <v>343</v>
      </c>
      <c r="C188" s="7" t="s">
        <v>42</v>
      </c>
      <c r="D188" s="7" t="s">
        <v>344</v>
      </c>
      <c r="E188" s="7" t="n">
        <v>24</v>
      </c>
      <c r="F188" s="7" t="s">
        <v>356</v>
      </c>
      <c r="G188" s="7" t="s">
        <v>358</v>
      </c>
      <c r="H188" s="7" t="s">
        <v>37</v>
      </c>
      <c r="I188" s="7" t="n">
        <v>78</v>
      </c>
      <c r="J188" s="8" t="n">
        <v>0.6</v>
      </c>
      <c r="K188" s="8" t="n">
        <v>1</v>
      </c>
      <c r="L188" s="8" t="n">
        <v>1</v>
      </c>
      <c r="M188" s="7" t="s">
        <v>38</v>
      </c>
      <c r="N188" s="7" t="s">
        <v>39</v>
      </c>
      <c r="O188" s="7" t="s">
        <v>107</v>
      </c>
      <c r="P188" s="9"/>
      <c r="Q188" s="9"/>
      <c r="R188" s="7" t="str">
        <f aca="false">IF(P188="",N188,P188)</f>
        <v>entrada não gerada</v>
      </c>
      <c r="S188" s="7" t="str">
        <f aca="false">IF(P188="","",IF(P188=N188,"sim","não"))</f>
        <v/>
      </c>
      <c r="T188" s="10" t="s">
        <v>359</v>
      </c>
    </row>
    <row r="189" customFormat="false" ht="23.85" hidden="false" customHeight="false" outlineLevel="0" collapsed="false">
      <c r="A189" s="7" t="n">
        <v>187</v>
      </c>
      <c r="B189" s="7" t="s">
        <v>343</v>
      </c>
      <c r="C189" s="7" t="s">
        <v>42</v>
      </c>
      <c r="D189" s="7" t="s">
        <v>344</v>
      </c>
      <c r="E189" s="7" t="n">
        <v>24</v>
      </c>
      <c r="F189" s="7" t="s">
        <v>356</v>
      </c>
      <c r="G189" s="7" t="s">
        <v>346</v>
      </c>
      <c r="H189" s="7" t="s">
        <v>37</v>
      </c>
      <c r="I189" s="7" t="n">
        <v>80</v>
      </c>
      <c r="J189" s="8" t="n">
        <v>0.667</v>
      </c>
      <c r="K189" s="8" t="n">
        <v>1</v>
      </c>
      <c r="L189" s="8" t="n">
        <v>1</v>
      </c>
      <c r="M189" s="7" t="s">
        <v>38</v>
      </c>
      <c r="N189" s="7" t="s">
        <v>39</v>
      </c>
      <c r="O189" s="7" t="s">
        <v>115</v>
      </c>
      <c r="P189" s="9"/>
      <c r="Q189" s="9"/>
      <c r="R189" s="7" t="str">
        <f aca="false">IF(P189="",N189,P189)</f>
        <v>entrada não gerada</v>
      </c>
      <c r="S189" s="7" t="str">
        <f aca="false">IF(P189="","",IF(P189=N189,"sim","não"))</f>
        <v/>
      </c>
      <c r="T189" s="10" t="s">
        <v>360</v>
      </c>
    </row>
    <row r="190" customFormat="false" ht="46.25" hidden="false" customHeight="false" outlineLevel="0" collapsed="false">
      <c r="A190" s="7" t="n">
        <v>188</v>
      </c>
      <c r="B190" s="7" t="s">
        <v>343</v>
      </c>
      <c r="C190" s="7" t="s">
        <v>42</v>
      </c>
      <c r="D190" s="7" t="s">
        <v>344</v>
      </c>
      <c r="E190" s="7" t="n">
        <v>24</v>
      </c>
      <c r="F190" s="7" t="s">
        <v>356</v>
      </c>
      <c r="G190" s="7" t="s">
        <v>361</v>
      </c>
      <c r="H190" s="7" t="s">
        <v>37</v>
      </c>
      <c r="I190" s="7" t="n">
        <v>0</v>
      </c>
      <c r="J190" s="8" t="n">
        <v>0</v>
      </c>
      <c r="K190" s="8" t="n">
        <v>0</v>
      </c>
      <c r="L190" s="8" t="n">
        <v>0</v>
      </c>
      <c r="M190" s="7" t="s">
        <v>211</v>
      </c>
      <c r="N190" s="7" t="s">
        <v>39</v>
      </c>
      <c r="O190" s="7" t="s">
        <v>362</v>
      </c>
      <c r="P190" s="9"/>
      <c r="Q190" s="9"/>
      <c r="R190" s="7" t="str">
        <f aca="false">IF(P190="",N190,P190)</f>
        <v>entrada não gerada</v>
      </c>
      <c r="S190" s="7" t="str">
        <f aca="false">IF(P190="","",IF(P190=N190,"sim","não"))</f>
        <v/>
      </c>
      <c r="T190" s="10" t="s">
        <v>363</v>
      </c>
    </row>
    <row r="191" customFormat="false" ht="28.35" hidden="false" customHeight="false" outlineLevel="0" collapsed="false">
      <c r="A191" s="7" t="n">
        <v>189</v>
      </c>
      <c r="B191" s="7" t="s">
        <v>343</v>
      </c>
      <c r="C191" s="7" t="s">
        <v>42</v>
      </c>
      <c r="D191" s="7" t="s">
        <v>344</v>
      </c>
      <c r="E191" s="7" t="n">
        <v>24</v>
      </c>
      <c r="F191" s="7" t="s">
        <v>356</v>
      </c>
      <c r="G191" s="7" t="s">
        <v>364</v>
      </c>
      <c r="H191" s="7" t="s">
        <v>37</v>
      </c>
      <c r="I191" s="7" t="n">
        <v>84</v>
      </c>
      <c r="J191" s="8" t="n">
        <v>0.8</v>
      </c>
      <c r="K191" s="8" t="n">
        <v>1</v>
      </c>
      <c r="L191" s="8" t="n">
        <v>1</v>
      </c>
      <c r="M191" s="7" t="s">
        <v>38</v>
      </c>
      <c r="N191" s="7" t="s">
        <v>39</v>
      </c>
      <c r="O191" s="7" t="s">
        <v>172</v>
      </c>
      <c r="P191" s="9"/>
      <c r="Q191" s="9"/>
      <c r="R191" s="7" t="str">
        <f aca="false">IF(P191="",N191,P191)</f>
        <v>entrada não gerada</v>
      </c>
      <c r="S191" s="7" t="str">
        <f aca="false">IF(P191="","",IF(P191=N191,"sim","não"))</f>
        <v/>
      </c>
      <c r="T191" s="10" t="s">
        <v>365</v>
      </c>
    </row>
    <row r="192" customFormat="false" ht="23.85" hidden="false" customHeight="false" outlineLevel="0" collapsed="false">
      <c r="A192" s="7" t="n">
        <v>190</v>
      </c>
      <c r="B192" s="7" t="s">
        <v>343</v>
      </c>
      <c r="C192" s="7" t="s">
        <v>42</v>
      </c>
      <c r="D192" s="7" t="s">
        <v>344</v>
      </c>
      <c r="E192" s="7" t="n">
        <v>28</v>
      </c>
      <c r="F192" s="7" t="s">
        <v>366</v>
      </c>
      <c r="G192" s="7" t="s">
        <v>350</v>
      </c>
      <c r="H192" s="7" t="s">
        <v>70</v>
      </c>
      <c r="I192" s="7" t="n">
        <v>89</v>
      </c>
      <c r="J192" s="8" t="n">
        <v>0.967</v>
      </c>
      <c r="K192" s="8" t="n">
        <v>1</v>
      </c>
      <c r="L192" s="8" t="n">
        <v>1</v>
      </c>
      <c r="M192" s="7" t="s">
        <v>38</v>
      </c>
      <c r="N192" s="7" t="s">
        <v>39</v>
      </c>
      <c r="O192" s="7" t="s">
        <v>56</v>
      </c>
      <c r="P192" s="9"/>
      <c r="Q192" s="9"/>
      <c r="R192" s="7" t="str">
        <f aca="false">IF(P192="",N192,P192)</f>
        <v>entrada não gerada</v>
      </c>
      <c r="S192" s="7" t="str">
        <f aca="false">IF(P192="","",IF(P192=N192,"sim","não"))</f>
        <v/>
      </c>
      <c r="T192" s="10" t="s">
        <v>367</v>
      </c>
    </row>
    <row r="193" customFormat="false" ht="23.85" hidden="false" customHeight="false" outlineLevel="0" collapsed="false">
      <c r="A193" s="7" t="n">
        <v>191</v>
      </c>
      <c r="B193" s="7" t="s">
        <v>343</v>
      </c>
      <c r="C193" s="7" t="s">
        <v>42</v>
      </c>
      <c r="D193" s="7" t="s">
        <v>344</v>
      </c>
      <c r="E193" s="7" t="n">
        <v>28</v>
      </c>
      <c r="F193" s="7" t="s">
        <v>366</v>
      </c>
      <c r="G193" s="7" t="s">
        <v>358</v>
      </c>
      <c r="H193" s="7" t="s">
        <v>70</v>
      </c>
      <c r="I193" s="7" t="n">
        <v>70</v>
      </c>
      <c r="J193" s="8" t="n">
        <v>0.333</v>
      </c>
      <c r="K193" s="8" t="n">
        <v>1</v>
      </c>
      <c r="L193" s="8" t="n">
        <v>1</v>
      </c>
      <c r="M193" s="7" t="s">
        <v>38</v>
      </c>
      <c r="N193" s="7" t="s">
        <v>39</v>
      </c>
      <c r="O193" s="7" t="s">
        <v>140</v>
      </c>
      <c r="P193" s="9"/>
      <c r="Q193" s="9"/>
      <c r="R193" s="7" t="str">
        <f aca="false">IF(P193="",N193,P193)</f>
        <v>entrada não gerada</v>
      </c>
      <c r="S193" s="7" t="str">
        <f aca="false">IF(P193="","",IF(P193=N193,"sim","não"))</f>
        <v/>
      </c>
      <c r="T193" s="10" t="s">
        <v>368</v>
      </c>
    </row>
    <row r="194" customFormat="false" ht="23.85" hidden="false" customHeight="false" outlineLevel="0" collapsed="false">
      <c r="A194" s="7" t="n">
        <v>192</v>
      </c>
      <c r="B194" s="7" t="s">
        <v>343</v>
      </c>
      <c r="C194" s="7" t="s">
        <v>42</v>
      </c>
      <c r="D194" s="7" t="s">
        <v>344</v>
      </c>
      <c r="E194" s="7" t="n">
        <v>28</v>
      </c>
      <c r="F194" s="7" t="s">
        <v>366</v>
      </c>
      <c r="G194" s="7" t="s">
        <v>346</v>
      </c>
      <c r="H194" s="7" t="s">
        <v>70</v>
      </c>
      <c r="I194" s="7" t="n">
        <v>66</v>
      </c>
      <c r="J194" s="8" t="n">
        <v>0.233</v>
      </c>
      <c r="K194" s="8" t="n">
        <v>0.967</v>
      </c>
      <c r="L194" s="8" t="n">
        <v>1</v>
      </c>
      <c r="M194" s="7" t="s">
        <v>38</v>
      </c>
      <c r="N194" s="7" t="s">
        <v>39</v>
      </c>
      <c r="O194" s="7" t="s">
        <v>178</v>
      </c>
      <c r="P194" s="9"/>
      <c r="Q194" s="9"/>
      <c r="R194" s="7" t="str">
        <f aca="false">IF(P194="",N194,P194)</f>
        <v>entrada não gerada</v>
      </c>
      <c r="S194" s="7" t="str">
        <f aca="false">IF(P194="","",IF(P194=N194,"sim","não"))</f>
        <v/>
      </c>
      <c r="T194" s="10" t="s">
        <v>369</v>
      </c>
    </row>
    <row r="195" customFormat="false" ht="28.35" hidden="false" customHeight="false" outlineLevel="0" collapsed="false">
      <c r="A195" s="7" t="n">
        <v>193</v>
      </c>
      <c r="B195" s="7" t="s">
        <v>343</v>
      </c>
      <c r="C195" s="7" t="s">
        <v>42</v>
      </c>
      <c r="D195" s="7" t="s">
        <v>344</v>
      </c>
      <c r="E195" s="7" t="n">
        <v>28</v>
      </c>
      <c r="F195" s="7" t="s">
        <v>366</v>
      </c>
      <c r="G195" s="7" t="s">
        <v>370</v>
      </c>
      <c r="H195" s="7" t="s">
        <v>70</v>
      </c>
      <c r="I195" s="7" t="n">
        <v>76</v>
      </c>
      <c r="J195" s="8" t="n">
        <v>0.533</v>
      </c>
      <c r="K195" s="8" t="n">
        <v>1</v>
      </c>
      <c r="L195" s="8" t="n">
        <v>1</v>
      </c>
      <c r="M195" s="7" t="s">
        <v>38</v>
      </c>
      <c r="N195" s="7" t="s">
        <v>39</v>
      </c>
      <c r="O195" s="7" t="s">
        <v>64</v>
      </c>
      <c r="P195" s="9"/>
      <c r="Q195" s="9"/>
      <c r="R195" s="7" t="str">
        <f aca="false">IF(P195="",N195,P195)</f>
        <v>entrada não gerada</v>
      </c>
      <c r="S195" s="7" t="str">
        <f aca="false">IF(P195="","",IF(P195=N195,"sim","não"))</f>
        <v/>
      </c>
      <c r="T195" s="10" t="s">
        <v>371</v>
      </c>
    </row>
    <row r="196" customFormat="false" ht="28.35" hidden="false" customHeight="false" outlineLevel="0" collapsed="false">
      <c r="A196" s="7" t="n">
        <v>194</v>
      </c>
      <c r="B196" s="7" t="s">
        <v>343</v>
      </c>
      <c r="C196" s="7" t="s">
        <v>42</v>
      </c>
      <c r="D196" s="7" t="s">
        <v>344</v>
      </c>
      <c r="E196" s="7" t="n">
        <v>29</v>
      </c>
      <c r="F196" s="7" t="s">
        <v>372</v>
      </c>
      <c r="G196" s="7" t="s">
        <v>373</v>
      </c>
      <c r="H196" s="7" t="s">
        <v>70</v>
      </c>
      <c r="I196" s="7" t="n">
        <v>62</v>
      </c>
      <c r="J196" s="8" t="n">
        <v>0.1</v>
      </c>
      <c r="K196" s="8" t="n">
        <v>0.967</v>
      </c>
      <c r="L196" s="8" t="n">
        <v>1</v>
      </c>
      <c r="M196" s="7" t="s">
        <v>38</v>
      </c>
      <c r="N196" s="7" t="s">
        <v>39</v>
      </c>
      <c r="O196" s="7" t="s">
        <v>188</v>
      </c>
      <c r="P196" s="9"/>
      <c r="Q196" s="9"/>
      <c r="R196" s="7" t="str">
        <f aca="false">IF(P196="",N196,P196)</f>
        <v>entrada não gerada</v>
      </c>
      <c r="S196" s="7" t="str">
        <f aca="false">IF(P196="","",IF(P196=N196,"sim","não"))</f>
        <v/>
      </c>
      <c r="T196" s="10" t="s">
        <v>374</v>
      </c>
    </row>
    <row r="197" customFormat="false" ht="28.35" hidden="false" customHeight="false" outlineLevel="0" collapsed="false">
      <c r="A197" s="7" t="n">
        <v>195</v>
      </c>
      <c r="B197" s="7" t="s">
        <v>343</v>
      </c>
      <c r="C197" s="7" t="s">
        <v>42</v>
      </c>
      <c r="D197" s="7" t="s">
        <v>344</v>
      </c>
      <c r="E197" s="7" t="n">
        <v>29</v>
      </c>
      <c r="F197" s="7" t="s">
        <v>372</v>
      </c>
      <c r="G197" s="7" t="s">
        <v>375</v>
      </c>
      <c r="H197" s="7" t="s">
        <v>70</v>
      </c>
      <c r="I197" s="7" t="n">
        <v>64</v>
      </c>
      <c r="J197" s="8" t="n">
        <v>0.133</v>
      </c>
      <c r="K197" s="8" t="n">
        <v>1</v>
      </c>
      <c r="L197" s="8" t="n">
        <v>1</v>
      </c>
      <c r="M197" s="7" t="s">
        <v>38</v>
      </c>
      <c r="N197" s="7" t="s">
        <v>39</v>
      </c>
      <c r="O197" s="7" t="s">
        <v>71</v>
      </c>
      <c r="P197" s="9"/>
      <c r="Q197" s="9"/>
      <c r="R197" s="7" t="str">
        <f aca="false">IF(P197="",N197,P197)</f>
        <v>entrada não gerada</v>
      </c>
      <c r="S197" s="7" t="str">
        <f aca="false">IF(P197="","",IF(P197=N197,"sim","não"))</f>
        <v/>
      </c>
      <c r="T197" s="10" t="s">
        <v>376</v>
      </c>
    </row>
    <row r="198" customFormat="false" ht="23.85" hidden="false" customHeight="false" outlineLevel="0" collapsed="false">
      <c r="A198" s="7" t="n">
        <v>196</v>
      </c>
      <c r="B198" s="7" t="s">
        <v>343</v>
      </c>
      <c r="C198" s="7" t="s">
        <v>42</v>
      </c>
      <c r="D198" s="7" t="s">
        <v>344</v>
      </c>
      <c r="E198" s="7" t="n">
        <v>33</v>
      </c>
      <c r="F198" s="7" t="s">
        <v>377</v>
      </c>
      <c r="G198" s="7" t="s">
        <v>350</v>
      </c>
      <c r="H198" s="7" t="s">
        <v>70</v>
      </c>
      <c r="I198" s="7" t="n">
        <v>72</v>
      </c>
      <c r="J198" s="8" t="n">
        <v>0.4</v>
      </c>
      <c r="K198" s="8" t="n">
        <v>1</v>
      </c>
      <c r="L198" s="8" t="n">
        <v>1</v>
      </c>
      <c r="M198" s="7" t="s">
        <v>38</v>
      </c>
      <c r="N198" s="7" t="s">
        <v>39</v>
      </c>
      <c r="O198" s="7" t="s">
        <v>111</v>
      </c>
      <c r="P198" s="9"/>
      <c r="Q198" s="9"/>
      <c r="R198" s="7" t="str">
        <f aca="false">IF(P198="",N198,P198)</f>
        <v>entrada não gerada</v>
      </c>
      <c r="S198" s="7" t="str">
        <f aca="false">IF(P198="","",IF(P198=N198,"sim","não"))</f>
        <v/>
      </c>
      <c r="T198" s="10" t="s">
        <v>378</v>
      </c>
    </row>
    <row r="199" customFormat="false" ht="23.85" hidden="false" customHeight="false" outlineLevel="0" collapsed="false">
      <c r="A199" s="7" t="n">
        <v>197</v>
      </c>
      <c r="B199" s="7" t="s">
        <v>343</v>
      </c>
      <c r="C199" s="7" t="s">
        <v>42</v>
      </c>
      <c r="D199" s="7" t="s">
        <v>344</v>
      </c>
      <c r="E199" s="7" t="n">
        <v>33</v>
      </c>
      <c r="F199" s="7" t="s">
        <v>377</v>
      </c>
      <c r="G199" s="7" t="s">
        <v>358</v>
      </c>
      <c r="H199" s="7" t="s">
        <v>70</v>
      </c>
      <c r="I199" s="7" t="n">
        <v>69</v>
      </c>
      <c r="J199" s="8" t="n">
        <v>0.3</v>
      </c>
      <c r="K199" s="8" t="n">
        <v>1</v>
      </c>
      <c r="L199" s="8" t="n">
        <v>1</v>
      </c>
      <c r="M199" s="7" t="s">
        <v>38</v>
      </c>
      <c r="N199" s="7" t="s">
        <v>39</v>
      </c>
      <c r="O199" s="7" t="s">
        <v>126</v>
      </c>
      <c r="P199" s="9"/>
      <c r="Q199" s="9"/>
      <c r="R199" s="7" t="str">
        <f aca="false">IF(P199="",N199,P199)</f>
        <v>entrada não gerada</v>
      </c>
      <c r="S199" s="7" t="str">
        <f aca="false">IF(P199="","",IF(P199=N199,"sim","não"))</f>
        <v/>
      </c>
      <c r="T199" s="10" t="s">
        <v>379</v>
      </c>
    </row>
    <row r="200" customFormat="false" ht="23.85" hidden="false" customHeight="false" outlineLevel="0" collapsed="false">
      <c r="A200" s="7" t="n">
        <v>198</v>
      </c>
      <c r="B200" s="7" t="s">
        <v>343</v>
      </c>
      <c r="C200" s="7" t="s">
        <v>42</v>
      </c>
      <c r="D200" s="7" t="s">
        <v>344</v>
      </c>
      <c r="E200" s="7" t="n">
        <v>33</v>
      </c>
      <c r="F200" s="7" t="s">
        <v>377</v>
      </c>
      <c r="G200" s="7" t="s">
        <v>346</v>
      </c>
      <c r="H200" s="7" t="s">
        <v>70</v>
      </c>
      <c r="I200" s="7" t="n">
        <v>66</v>
      </c>
      <c r="J200" s="8" t="n">
        <v>0.2</v>
      </c>
      <c r="K200" s="8" t="n">
        <v>1</v>
      </c>
      <c r="L200" s="8" t="n">
        <v>1</v>
      </c>
      <c r="M200" s="7" t="s">
        <v>38</v>
      </c>
      <c r="N200" s="7" t="s">
        <v>39</v>
      </c>
      <c r="O200" s="7" t="s">
        <v>178</v>
      </c>
      <c r="P200" s="9"/>
      <c r="Q200" s="9"/>
      <c r="R200" s="7" t="str">
        <f aca="false">IF(P200="",N200,P200)</f>
        <v>entrada não gerada</v>
      </c>
      <c r="S200" s="7" t="str">
        <f aca="false">IF(P200="","",IF(P200=N200,"sim","não"))</f>
        <v/>
      </c>
      <c r="T200" s="10" t="s">
        <v>380</v>
      </c>
    </row>
    <row r="201" customFormat="false" ht="28.35" hidden="false" customHeight="false" outlineLevel="0" collapsed="false">
      <c r="A201" s="7" t="n">
        <v>199</v>
      </c>
      <c r="B201" s="7" t="s">
        <v>343</v>
      </c>
      <c r="C201" s="7" t="s">
        <v>42</v>
      </c>
      <c r="D201" s="7" t="s">
        <v>344</v>
      </c>
      <c r="E201" s="7" t="n">
        <v>33</v>
      </c>
      <c r="F201" s="7" t="s">
        <v>377</v>
      </c>
      <c r="G201" s="7" t="s">
        <v>381</v>
      </c>
      <c r="H201" s="7" t="s">
        <v>70</v>
      </c>
      <c r="I201" s="7" t="n">
        <v>76</v>
      </c>
      <c r="J201" s="8" t="n">
        <v>0.533</v>
      </c>
      <c r="K201" s="8" t="n">
        <v>1</v>
      </c>
      <c r="L201" s="8" t="n">
        <v>1</v>
      </c>
      <c r="M201" s="7" t="s">
        <v>38</v>
      </c>
      <c r="N201" s="7" t="s">
        <v>39</v>
      </c>
      <c r="O201" s="7" t="s">
        <v>64</v>
      </c>
      <c r="P201" s="9"/>
      <c r="Q201" s="9"/>
      <c r="R201" s="7" t="str">
        <f aca="false">IF(P201="",N201,P201)</f>
        <v>entrada não gerada</v>
      </c>
      <c r="S201" s="7" t="str">
        <f aca="false">IF(P201="","",IF(P201=N201,"sim","não"))</f>
        <v/>
      </c>
      <c r="T201" s="10" t="s">
        <v>382</v>
      </c>
    </row>
    <row r="202" customFormat="false" ht="35.05" hidden="false" customHeight="false" outlineLevel="0" collapsed="false">
      <c r="A202" s="7" t="n">
        <v>200</v>
      </c>
      <c r="B202" s="7" t="s">
        <v>343</v>
      </c>
      <c r="C202" s="7" t="s">
        <v>42</v>
      </c>
      <c r="D202" s="7" t="s">
        <v>344</v>
      </c>
      <c r="E202" s="7" t="n">
        <v>34</v>
      </c>
      <c r="F202" s="7" t="s">
        <v>383</v>
      </c>
      <c r="G202" s="7" t="s">
        <v>384</v>
      </c>
      <c r="H202" s="7" t="s">
        <v>70</v>
      </c>
      <c r="I202" s="7" t="n">
        <v>75</v>
      </c>
      <c r="J202" s="8" t="n">
        <v>0.5</v>
      </c>
      <c r="K202" s="8" t="n">
        <v>1</v>
      </c>
      <c r="L202" s="8" t="n">
        <v>1</v>
      </c>
      <c r="M202" s="7" t="s">
        <v>38</v>
      </c>
      <c r="N202" s="7" t="s">
        <v>39</v>
      </c>
      <c r="O202" s="7" t="s">
        <v>103</v>
      </c>
      <c r="P202" s="9"/>
      <c r="Q202" s="9"/>
      <c r="R202" s="7" t="str">
        <f aca="false">IF(P202="",N202,P202)</f>
        <v>entrada não gerada</v>
      </c>
      <c r="S202" s="7" t="str">
        <f aca="false">IF(P202="","",IF(P202=N202,"sim","não"))</f>
        <v/>
      </c>
      <c r="T202" s="10" t="s">
        <v>385</v>
      </c>
    </row>
    <row r="203" customFormat="false" ht="28.35" hidden="false" customHeight="false" outlineLevel="0" collapsed="false">
      <c r="A203" s="7" t="n">
        <v>201</v>
      </c>
      <c r="B203" s="7" t="s">
        <v>343</v>
      </c>
      <c r="C203" s="7" t="s">
        <v>42</v>
      </c>
      <c r="D203" s="7" t="s">
        <v>344</v>
      </c>
      <c r="E203" s="7" t="n">
        <v>36</v>
      </c>
      <c r="F203" s="7" t="s">
        <v>386</v>
      </c>
      <c r="G203" s="7" t="s">
        <v>387</v>
      </c>
      <c r="H203" s="7" t="s">
        <v>45</v>
      </c>
      <c r="I203" s="7" t="n">
        <v>81</v>
      </c>
      <c r="J203" s="8" t="n">
        <v>0.7</v>
      </c>
      <c r="K203" s="8" t="n">
        <v>1</v>
      </c>
      <c r="L203" s="8" t="n">
        <v>1</v>
      </c>
      <c r="M203" s="7" t="s">
        <v>38</v>
      </c>
      <c r="N203" s="7" t="s">
        <v>39</v>
      </c>
      <c r="O203" s="7" t="s">
        <v>388</v>
      </c>
      <c r="P203" s="9"/>
      <c r="Q203" s="9"/>
      <c r="R203" s="7" t="str">
        <f aca="false">IF(P203="",N203,P203)</f>
        <v>entrada não gerada</v>
      </c>
      <c r="S203" s="7" t="str">
        <f aca="false">IF(P203="","",IF(P203=N203,"sim","não"))</f>
        <v/>
      </c>
      <c r="T203" s="10" t="s">
        <v>389</v>
      </c>
    </row>
    <row r="204" customFormat="false" ht="23.85" hidden="false" customHeight="false" outlineLevel="0" collapsed="false">
      <c r="A204" s="7" t="n">
        <v>202</v>
      </c>
      <c r="B204" s="7" t="s">
        <v>343</v>
      </c>
      <c r="C204" s="7" t="s">
        <v>42</v>
      </c>
      <c r="D204" s="7" t="s">
        <v>390</v>
      </c>
      <c r="E204" s="7" t="n">
        <v>10</v>
      </c>
      <c r="F204" s="7" t="s">
        <v>391</v>
      </c>
      <c r="G204" s="7" t="s">
        <v>392</v>
      </c>
      <c r="H204" s="7" t="s">
        <v>206</v>
      </c>
      <c r="I204" s="7" t="n">
        <v>89</v>
      </c>
      <c r="J204" s="8" t="n">
        <v>0.967</v>
      </c>
      <c r="K204" s="8" t="n">
        <v>1</v>
      </c>
      <c r="L204" s="8" t="n">
        <v>1</v>
      </c>
      <c r="M204" s="7" t="s">
        <v>38</v>
      </c>
      <c r="N204" s="7" t="s">
        <v>39</v>
      </c>
      <c r="O204" s="7" t="s">
        <v>56</v>
      </c>
      <c r="P204" s="9"/>
      <c r="Q204" s="9"/>
      <c r="R204" s="7" t="str">
        <f aca="false">IF(P204="",N204,P204)</f>
        <v>entrada não gerada</v>
      </c>
      <c r="S204" s="7" t="str">
        <f aca="false">IF(P204="","",IF(P204=N204,"sim","não"))</f>
        <v/>
      </c>
      <c r="T204" s="10" t="s">
        <v>393</v>
      </c>
    </row>
    <row r="205" customFormat="false" ht="23.85" hidden="false" customHeight="false" outlineLevel="0" collapsed="false">
      <c r="A205" s="7" t="n">
        <v>203</v>
      </c>
      <c r="B205" s="7" t="s">
        <v>343</v>
      </c>
      <c r="C205" s="7" t="s">
        <v>42</v>
      </c>
      <c r="D205" s="7" t="s">
        <v>390</v>
      </c>
      <c r="E205" s="7" t="n">
        <v>15</v>
      </c>
      <c r="F205" s="7" t="s">
        <v>394</v>
      </c>
      <c r="G205" s="7" t="s">
        <v>395</v>
      </c>
      <c r="H205" s="7" t="s">
        <v>95</v>
      </c>
      <c r="I205" s="7" t="n">
        <v>83</v>
      </c>
      <c r="J205" s="8" t="n">
        <v>0.767</v>
      </c>
      <c r="K205" s="8" t="n">
        <v>1</v>
      </c>
      <c r="L205" s="8" t="n">
        <v>1</v>
      </c>
      <c r="M205" s="7" t="s">
        <v>38</v>
      </c>
      <c r="N205" s="7" t="s">
        <v>39</v>
      </c>
      <c r="O205" s="7" t="s">
        <v>207</v>
      </c>
      <c r="P205" s="9"/>
      <c r="Q205" s="9"/>
      <c r="R205" s="7" t="str">
        <f aca="false">IF(P205="",N205,P205)</f>
        <v>entrada não gerada</v>
      </c>
      <c r="S205" s="7" t="str">
        <f aca="false">IF(P205="","",IF(P205=N205,"sim","não"))</f>
        <v/>
      </c>
      <c r="T205" s="10" t="s">
        <v>396</v>
      </c>
    </row>
    <row r="206" customFormat="false" ht="23.85" hidden="false" customHeight="false" outlineLevel="0" collapsed="false">
      <c r="A206" s="7" t="n">
        <v>204</v>
      </c>
      <c r="B206" s="7" t="s">
        <v>343</v>
      </c>
      <c r="C206" s="7" t="s">
        <v>42</v>
      </c>
      <c r="D206" s="7" t="s">
        <v>390</v>
      </c>
      <c r="E206" s="7" t="n">
        <v>15</v>
      </c>
      <c r="F206" s="7" t="s">
        <v>394</v>
      </c>
      <c r="G206" s="7" t="s">
        <v>392</v>
      </c>
      <c r="H206" s="7" t="s">
        <v>95</v>
      </c>
      <c r="I206" s="7" t="n">
        <v>75</v>
      </c>
      <c r="J206" s="8" t="n">
        <v>0.5</v>
      </c>
      <c r="K206" s="8" t="n">
        <v>1</v>
      </c>
      <c r="L206" s="8" t="n">
        <v>1</v>
      </c>
      <c r="M206" s="7" t="s">
        <v>38</v>
      </c>
      <c r="N206" s="7" t="s">
        <v>39</v>
      </c>
      <c r="O206" s="7" t="s">
        <v>103</v>
      </c>
      <c r="P206" s="9"/>
      <c r="Q206" s="9"/>
      <c r="R206" s="7" t="str">
        <f aca="false">IF(P206="",N206,P206)</f>
        <v>entrada não gerada</v>
      </c>
      <c r="S206" s="7" t="str">
        <f aca="false">IF(P206="","",IF(P206=N206,"sim","não"))</f>
        <v/>
      </c>
      <c r="T206" s="10" t="s">
        <v>397</v>
      </c>
    </row>
    <row r="207" customFormat="false" ht="23.85" hidden="false" customHeight="false" outlineLevel="0" collapsed="false">
      <c r="A207" s="7" t="n">
        <v>205</v>
      </c>
      <c r="B207" s="7" t="s">
        <v>343</v>
      </c>
      <c r="C207" s="7" t="s">
        <v>42</v>
      </c>
      <c r="D207" s="7" t="s">
        <v>398</v>
      </c>
      <c r="E207" s="7" t="n">
        <v>37</v>
      </c>
      <c r="F207" s="7" t="s">
        <v>399</v>
      </c>
      <c r="G207" s="7" t="s">
        <v>358</v>
      </c>
      <c r="H207" s="7" t="s">
        <v>120</v>
      </c>
      <c r="I207" s="7" t="n">
        <v>71</v>
      </c>
      <c r="J207" s="8" t="n">
        <v>0.367</v>
      </c>
      <c r="K207" s="8" t="n">
        <v>1</v>
      </c>
      <c r="L207" s="8" t="n">
        <v>1</v>
      </c>
      <c r="M207" s="7" t="s">
        <v>38</v>
      </c>
      <c r="N207" s="7" t="s">
        <v>39</v>
      </c>
      <c r="O207" s="7" t="s">
        <v>50</v>
      </c>
      <c r="P207" s="9"/>
      <c r="Q207" s="9"/>
      <c r="R207" s="7" t="str">
        <f aca="false">IF(P207="",N207,P207)</f>
        <v>entrada não gerada</v>
      </c>
      <c r="S207" s="7" t="str">
        <f aca="false">IF(P207="","",IF(P207=N207,"sim","não"))</f>
        <v/>
      </c>
      <c r="T207" s="10" t="s">
        <v>400</v>
      </c>
    </row>
    <row r="208" customFormat="false" ht="23.85" hidden="false" customHeight="false" outlineLevel="0" collapsed="false">
      <c r="A208" s="7" t="n">
        <v>206</v>
      </c>
      <c r="B208" s="7" t="s">
        <v>343</v>
      </c>
      <c r="C208" s="7" t="s">
        <v>42</v>
      </c>
      <c r="D208" s="7" t="s">
        <v>398</v>
      </c>
      <c r="E208" s="7" t="n">
        <v>37</v>
      </c>
      <c r="F208" s="7" t="s">
        <v>399</v>
      </c>
      <c r="G208" s="7" t="s">
        <v>358</v>
      </c>
      <c r="H208" s="7" t="s">
        <v>120</v>
      </c>
      <c r="I208" s="7" t="n">
        <v>86</v>
      </c>
      <c r="J208" s="8" t="n">
        <v>0.867</v>
      </c>
      <c r="K208" s="8" t="n">
        <v>1</v>
      </c>
      <c r="L208" s="8" t="n">
        <v>1</v>
      </c>
      <c r="M208" s="7" t="s">
        <v>38</v>
      </c>
      <c r="N208" s="7" t="s">
        <v>39</v>
      </c>
      <c r="O208" s="7" t="s">
        <v>347</v>
      </c>
      <c r="P208" s="9"/>
      <c r="Q208" s="9"/>
      <c r="R208" s="7" t="str">
        <f aca="false">IF(P208="",N208,P208)</f>
        <v>entrada não gerada</v>
      </c>
      <c r="S208" s="7" t="str">
        <f aca="false">IF(P208="","",IF(P208=N208,"sim","não"))</f>
        <v/>
      </c>
      <c r="T208" s="10" t="s">
        <v>401</v>
      </c>
    </row>
    <row r="209" customFormat="false" ht="23.85" hidden="false" customHeight="false" outlineLevel="0" collapsed="false">
      <c r="A209" s="7" t="n">
        <v>207</v>
      </c>
      <c r="B209" s="7" t="s">
        <v>343</v>
      </c>
      <c r="C209" s="7" t="s">
        <v>42</v>
      </c>
      <c r="D209" s="7" t="s">
        <v>398</v>
      </c>
      <c r="E209" s="7" t="n">
        <v>37</v>
      </c>
      <c r="F209" s="7" t="s">
        <v>399</v>
      </c>
      <c r="G209" s="7" t="s">
        <v>402</v>
      </c>
      <c r="H209" s="7" t="s">
        <v>120</v>
      </c>
      <c r="I209" s="7" t="n">
        <v>44</v>
      </c>
      <c r="J209" s="8" t="n">
        <v>0.033</v>
      </c>
      <c r="K209" s="8" t="n">
        <v>0.433</v>
      </c>
      <c r="L209" s="8" t="n">
        <v>1</v>
      </c>
      <c r="M209" s="7" t="s">
        <v>38</v>
      </c>
      <c r="N209" s="7" t="s">
        <v>39</v>
      </c>
      <c r="O209" s="7" t="s">
        <v>403</v>
      </c>
      <c r="P209" s="9"/>
      <c r="Q209" s="9"/>
      <c r="R209" s="7" t="str">
        <f aca="false">IF(P209="",N209,P209)</f>
        <v>entrada não gerada</v>
      </c>
      <c r="S209" s="7" t="str">
        <f aca="false">IF(P209="","",IF(P209=N209,"sim","não"))</f>
        <v/>
      </c>
      <c r="T209" s="10" t="s">
        <v>404</v>
      </c>
    </row>
    <row r="210" customFormat="false" ht="23.85" hidden="false" customHeight="false" outlineLevel="0" collapsed="false">
      <c r="A210" s="7" t="n">
        <v>208</v>
      </c>
      <c r="B210" s="7" t="s">
        <v>343</v>
      </c>
      <c r="C210" s="7" t="s">
        <v>42</v>
      </c>
      <c r="D210" s="7" t="s">
        <v>398</v>
      </c>
      <c r="E210" s="7" t="n">
        <v>37</v>
      </c>
      <c r="F210" s="7" t="s">
        <v>399</v>
      </c>
      <c r="G210" s="7" t="s">
        <v>405</v>
      </c>
      <c r="H210" s="7" t="s">
        <v>120</v>
      </c>
      <c r="I210" s="7" t="n">
        <v>85</v>
      </c>
      <c r="J210" s="8" t="n">
        <v>0.833</v>
      </c>
      <c r="K210" s="8" t="n">
        <v>1</v>
      </c>
      <c r="L210" s="8" t="n">
        <v>1</v>
      </c>
      <c r="M210" s="7" t="s">
        <v>38</v>
      </c>
      <c r="N210" s="7" t="s">
        <v>39</v>
      </c>
      <c r="O210" s="7" t="s">
        <v>151</v>
      </c>
      <c r="P210" s="9"/>
      <c r="Q210" s="9"/>
      <c r="R210" s="7" t="str">
        <f aca="false">IF(P210="",N210,P210)</f>
        <v>entrada não gerada</v>
      </c>
      <c r="S210" s="7" t="str">
        <f aca="false">IF(P210="","",IF(P210=N210,"sim","não"))</f>
        <v/>
      </c>
      <c r="T210" s="10" t="s">
        <v>406</v>
      </c>
    </row>
    <row r="211" customFormat="false" ht="23.85" hidden="false" customHeight="false" outlineLevel="0" collapsed="false">
      <c r="A211" s="7" t="n">
        <v>209</v>
      </c>
      <c r="B211" s="7" t="s">
        <v>343</v>
      </c>
      <c r="C211" s="7" t="s">
        <v>42</v>
      </c>
      <c r="D211" s="7" t="s">
        <v>398</v>
      </c>
      <c r="E211" s="7" t="n">
        <v>64</v>
      </c>
      <c r="F211" s="7" t="s">
        <v>128</v>
      </c>
      <c r="G211" s="7" t="s">
        <v>358</v>
      </c>
      <c r="H211" s="7" t="s">
        <v>129</v>
      </c>
      <c r="I211" s="7" t="n">
        <v>88</v>
      </c>
      <c r="J211" s="8" t="n">
        <v>0.933</v>
      </c>
      <c r="K211" s="8" t="n">
        <v>1</v>
      </c>
      <c r="L211" s="8" t="n">
        <v>1</v>
      </c>
      <c r="M211" s="7" t="s">
        <v>38</v>
      </c>
      <c r="N211" s="7" t="s">
        <v>39</v>
      </c>
      <c r="O211" s="7" t="s">
        <v>46</v>
      </c>
      <c r="P211" s="9"/>
      <c r="Q211" s="9"/>
      <c r="R211" s="7" t="str">
        <f aca="false">IF(P211="",N211,P211)</f>
        <v>entrada não gerada</v>
      </c>
      <c r="S211" s="7" t="str">
        <f aca="false">IF(P211="","",IF(P211=N211,"sim","não"))</f>
        <v/>
      </c>
      <c r="T211" s="10" t="s">
        <v>407</v>
      </c>
    </row>
    <row r="212" customFormat="false" ht="23.85" hidden="false" customHeight="false" outlineLevel="0" collapsed="false">
      <c r="A212" s="7" t="n">
        <v>210</v>
      </c>
      <c r="B212" s="7" t="s">
        <v>343</v>
      </c>
      <c r="C212" s="7" t="s">
        <v>42</v>
      </c>
      <c r="D212" s="7" t="s">
        <v>398</v>
      </c>
      <c r="E212" s="7" t="n">
        <v>64</v>
      </c>
      <c r="F212" s="7" t="s">
        <v>128</v>
      </c>
      <c r="G212" s="7" t="s">
        <v>358</v>
      </c>
      <c r="H212" s="7" t="s">
        <v>129</v>
      </c>
      <c r="I212" s="7" t="n">
        <v>87</v>
      </c>
      <c r="J212" s="8" t="n">
        <v>0.9</v>
      </c>
      <c r="K212" s="8" t="n">
        <v>1</v>
      </c>
      <c r="L212" s="8" t="n">
        <v>1</v>
      </c>
      <c r="M212" s="7" t="s">
        <v>38</v>
      </c>
      <c r="N212" s="7" t="s">
        <v>39</v>
      </c>
      <c r="O212" s="7" t="s">
        <v>134</v>
      </c>
      <c r="P212" s="9"/>
      <c r="Q212" s="9"/>
      <c r="R212" s="7" t="str">
        <f aca="false">IF(P212="",N212,P212)</f>
        <v>entrada não gerada</v>
      </c>
      <c r="S212" s="7" t="str">
        <f aca="false">IF(P212="","",IF(P212=N212,"sim","não"))</f>
        <v/>
      </c>
      <c r="T212" s="10" t="s">
        <v>408</v>
      </c>
    </row>
    <row r="213" customFormat="false" ht="28.35" hidden="false" customHeight="false" outlineLevel="0" collapsed="false">
      <c r="A213" s="7" t="n">
        <v>211</v>
      </c>
      <c r="B213" s="7" t="s">
        <v>343</v>
      </c>
      <c r="C213" s="7" t="s">
        <v>42</v>
      </c>
      <c r="D213" s="7" t="s">
        <v>398</v>
      </c>
      <c r="E213" s="7" t="n">
        <v>64</v>
      </c>
      <c r="F213" s="7" t="s">
        <v>128</v>
      </c>
      <c r="G213" s="7" t="s">
        <v>409</v>
      </c>
      <c r="H213" s="7" t="s">
        <v>129</v>
      </c>
      <c r="I213" s="7" t="n">
        <v>76</v>
      </c>
      <c r="J213" s="8" t="n">
        <v>0.533</v>
      </c>
      <c r="K213" s="8" t="n">
        <v>1</v>
      </c>
      <c r="L213" s="8" t="n">
        <v>1</v>
      </c>
      <c r="M213" s="7" t="s">
        <v>38</v>
      </c>
      <c r="N213" s="7" t="s">
        <v>39</v>
      </c>
      <c r="O213" s="7" t="s">
        <v>64</v>
      </c>
      <c r="P213" s="9"/>
      <c r="Q213" s="9"/>
      <c r="R213" s="7" t="str">
        <f aca="false">IF(P213="",N213,P213)</f>
        <v>entrada não gerada</v>
      </c>
      <c r="S213" s="7" t="str">
        <f aca="false">IF(P213="","",IF(P213=N213,"sim","não"))</f>
        <v/>
      </c>
      <c r="T213" s="10" t="s">
        <v>410</v>
      </c>
    </row>
    <row r="214" customFormat="false" ht="28.35" hidden="false" customHeight="false" outlineLevel="0" collapsed="false">
      <c r="A214" s="7" t="n">
        <v>212</v>
      </c>
      <c r="B214" s="7" t="s">
        <v>343</v>
      </c>
      <c r="C214" s="7" t="s">
        <v>42</v>
      </c>
      <c r="D214" s="7" t="s">
        <v>398</v>
      </c>
      <c r="E214" s="7" t="n">
        <v>64</v>
      </c>
      <c r="F214" s="7" t="s">
        <v>128</v>
      </c>
      <c r="G214" s="7" t="s">
        <v>411</v>
      </c>
      <c r="H214" s="7" t="s">
        <v>129</v>
      </c>
      <c r="I214" s="7" t="n">
        <v>85</v>
      </c>
      <c r="J214" s="8" t="n">
        <v>0.833</v>
      </c>
      <c r="K214" s="8" t="n">
        <v>1</v>
      </c>
      <c r="L214" s="8" t="n">
        <v>1</v>
      </c>
      <c r="M214" s="7" t="s">
        <v>38</v>
      </c>
      <c r="N214" s="7" t="s">
        <v>39</v>
      </c>
      <c r="O214" s="7" t="s">
        <v>151</v>
      </c>
      <c r="P214" s="9"/>
      <c r="Q214" s="9"/>
      <c r="R214" s="7" t="str">
        <f aca="false">IF(P214="",N214,P214)</f>
        <v>entrada não gerada</v>
      </c>
      <c r="S214" s="7" t="str">
        <f aca="false">IF(P214="","",IF(P214=N214,"sim","não"))</f>
        <v/>
      </c>
      <c r="T214" s="10" t="s">
        <v>412</v>
      </c>
    </row>
    <row r="215" customFormat="false" ht="23.85" hidden="false" customHeight="false" outlineLevel="0" collapsed="false">
      <c r="A215" s="7" t="n">
        <v>213</v>
      </c>
      <c r="B215" s="7" t="s">
        <v>343</v>
      </c>
      <c r="C215" s="7" t="s">
        <v>42</v>
      </c>
      <c r="D215" s="7" t="s">
        <v>398</v>
      </c>
      <c r="E215" s="7" t="n">
        <v>68</v>
      </c>
      <c r="F215" s="7" t="s">
        <v>413</v>
      </c>
      <c r="G215" s="7" t="s">
        <v>350</v>
      </c>
      <c r="H215" s="7" t="s">
        <v>133</v>
      </c>
      <c r="I215" s="7" t="n">
        <v>81</v>
      </c>
      <c r="J215" s="8" t="n">
        <v>0.7</v>
      </c>
      <c r="K215" s="8" t="n">
        <v>1</v>
      </c>
      <c r="L215" s="8" t="n">
        <v>1</v>
      </c>
      <c r="M215" s="7" t="s">
        <v>38</v>
      </c>
      <c r="N215" s="7" t="s">
        <v>39</v>
      </c>
      <c r="O215" s="7" t="s">
        <v>388</v>
      </c>
      <c r="P215" s="9"/>
      <c r="Q215" s="9"/>
      <c r="R215" s="7" t="str">
        <f aca="false">IF(P215="",N215,P215)</f>
        <v>entrada não gerada</v>
      </c>
      <c r="S215" s="7" t="str">
        <f aca="false">IF(P215="","",IF(P215=N215,"sim","não"))</f>
        <v/>
      </c>
      <c r="T215" s="10" t="s">
        <v>414</v>
      </c>
    </row>
    <row r="216" customFormat="false" ht="23.85" hidden="false" customHeight="false" outlineLevel="0" collapsed="false">
      <c r="A216" s="7" t="n">
        <v>214</v>
      </c>
      <c r="B216" s="7" t="s">
        <v>343</v>
      </c>
      <c r="C216" s="7" t="s">
        <v>42</v>
      </c>
      <c r="D216" s="7" t="s">
        <v>398</v>
      </c>
      <c r="E216" s="7" t="n">
        <v>69</v>
      </c>
      <c r="F216" s="7" t="s">
        <v>415</v>
      </c>
      <c r="G216" s="7" t="s">
        <v>350</v>
      </c>
      <c r="H216" s="7" t="s">
        <v>133</v>
      </c>
      <c r="I216" s="7" t="n">
        <v>85</v>
      </c>
      <c r="J216" s="8" t="n">
        <v>0.833</v>
      </c>
      <c r="K216" s="8" t="n">
        <v>1</v>
      </c>
      <c r="L216" s="8" t="n">
        <v>1</v>
      </c>
      <c r="M216" s="7" t="s">
        <v>38</v>
      </c>
      <c r="N216" s="7" t="s">
        <v>39</v>
      </c>
      <c r="O216" s="7" t="s">
        <v>151</v>
      </c>
      <c r="P216" s="9"/>
      <c r="Q216" s="9"/>
      <c r="R216" s="7" t="str">
        <f aca="false">IF(P216="",N216,P216)</f>
        <v>entrada não gerada</v>
      </c>
      <c r="S216" s="7" t="str">
        <f aca="false">IF(P216="","",IF(P216=N216,"sim","não"))</f>
        <v/>
      </c>
      <c r="T216" s="10" t="s">
        <v>416</v>
      </c>
    </row>
    <row r="217" customFormat="false" ht="23.85" hidden="false" customHeight="false" outlineLevel="0" collapsed="false">
      <c r="A217" s="7" t="n">
        <v>215</v>
      </c>
      <c r="B217" s="7" t="s">
        <v>343</v>
      </c>
      <c r="C217" s="7" t="s">
        <v>42</v>
      </c>
      <c r="D217" s="7" t="s">
        <v>398</v>
      </c>
      <c r="E217" s="7" t="n">
        <v>69</v>
      </c>
      <c r="F217" s="7" t="s">
        <v>415</v>
      </c>
      <c r="G217" s="7" t="s">
        <v>358</v>
      </c>
      <c r="H217" s="7" t="s">
        <v>133</v>
      </c>
      <c r="I217" s="7" t="n">
        <v>80</v>
      </c>
      <c r="J217" s="8" t="n">
        <v>0.667</v>
      </c>
      <c r="K217" s="8" t="n">
        <v>1</v>
      </c>
      <c r="L217" s="8" t="n">
        <v>1</v>
      </c>
      <c r="M217" s="7" t="s">
        <v>38</v>
      </c>
      <c r="N217" s="7" t="s">
        <v>39</v>
      </c>
      <c r="O217" s="7" t="s">
        <v>115</v>
      </c>
      <c r="P217" s="9"/>
      <c r="Q217" s="9"/>
      <c r="R217" s="7" t="str">
        <f aca="false">IF(P217="",N217,P217)</f>
        <v>entrada não gerada</v>
      </c>
      <c r="S217" s="7" t="str">
        <f aca="false">IF(P217="","",IF(P217=N217,"sim","não"))</f>
        <v/>
      </c>
      <c r="T217" s="10" t="s">
        <v>417</v>
      </c>
    </row>
    <row r="218" customFormat="false" ht="23.85" hidden="false" customHeight="false" outlineLevel="0" collapsed="false">
      <c r="A218" s="7" t="n">
        <v>216</v>
      </c>
      <c r="B218" s="7" t="s">
        <v>343</v>
      </c>
      <c r="C218" s="7" t="s">
        <v>42</v>
      </c>
      <c r="D218" s="7" t="s">
        <v>398</v>
      </c>
      <c r="E218" s="7" t="n">
        <v>69</v>
      </c>
      <c r="F218" s="7" t="s">
        <v>415</v>
      </c>
      <c r="G218" s="7" t="s">
        <v>346</v>
      </c>
      <c r="H218" s="7" t="s">
        <v>133</v>
      </c>
      <c r="I218" s="7" t="n">
        <v>89</v>
      </c>
      <c r="J218" s="8" t="n">
        <v>0.967</v>
      </c>
      <c r="K218" s="8" t="n">
        <v>1</v>
      </c>
      <c r="L218" s="8" t="n">
        <v>1</v>
      </c>
      <c r="M218" s="7" t="s">
        <v>38</v>
      </c>
      <c r="N218" s="7" t="s">
        <v>39</v>
      </c>
      <c r="O218" s="7" t="s">
        <v>56</v>
      </c>
      <c r="P218" s="9"/>
      <c r="Q218" s="9"/>
      <c r="R218" s="7" t="str">
        <f aca="false">IF(P218="",N218,P218)</f>
        <v>entrada não gerada</v>
      </c>
      <c r="S218" s="7" t="str">
        <f aca="false">IF(P218="","",IF(P218=N218,"sim","não"))</f>
        <v/>
      </c>
      <c r="T218" s="10" t="s">
        <v>418</v>
      </c>
    </row>
    <row r="219" customFormat="false" ht="28.35" hidden="false" customHeight="false" outlineLevel="0" collapsed="false">
      <c r="A219" s="7" t="n">
        <v>217</v>
      </c>
      <c r="B219" s="7" t="s">
        <v>343</v>
      </c>
      <c r="C219" s="7" t="s">
        <v>42</v>
      </c>
      <c r="D219" s="7" t="s">
        <v>398</v>
      </c>
      <c r="E219" s="7" t="n">
        <v>69</v>
      </c>
      <c r="F219" s="7" t="s">
        <v>415</v>
      </c>
      <c r="G219" s="7" t="s">
        <v>419</v>
      </c>
      <c r="H219" s="7" t="s">
        <v>133</v>
      </c>
      <c r="I219" s="7" t="n">
        <v>89</v>
      </c>
      <c r="J219" s="8" t="n">
        <v>0.967</v>
      </c>
      <c r="K219" s="8" t="n">
        <v>1</v>
      </c>
      <c r="L219" s="8" t="n">
        <v>1</v>
      </c>
      <c r="M219" s="7" t="s">
        <v>38</v>
      </c>
      <c r="N219" s="7" t="s">
        <v>39</v>
      </c>
      <c r="O219" s="7" t="s">
        <v>56</v>
      </c>
      <c r="P219" s="9"/>
      <c r="Q219" s="9"/>
      <c r="R219" s="7" t="str">
        <f aca="false">IF(P219="",N219,P219)</f>
        <v>entrada não gerada</v>
      </c>
      <c r="S219" s="7" t="str">
        <f aca="false">IF(P219="","",IF(P219=N219,"sim","não"))</f>
        <v/>
      </c>
      <c r="T219" s="10" t="s">
        <v>420</v>
      </c>
    </row>
    <row r="220" customFormat="false" ht="28.35" hidden="false" customHeight="false" outlineLevel="0" collapsed="false">
      <c r="A220" s="7" t="n">
        <v>218</v>
      </c>
      <c r="B220" s="7" t="s">
        <v>343</v>
      </c>
      <c r="C220" s="7" t="s">
        <v>42</v>
      </c>
      <c r="D220" s="7" t="s">
        <v>398</v>
      </c>
      <c r="E220" s="7" t="n">
        <v>70</v>
      </c>
      <c r="F220" s="7" t="s">
        <v>421</v>
      </c>
      <c r="G220" s="7" t="s">
        <v>422</v>
      </c>
      <c r="H220" s="7" t="s">
        <v>133</v>
      </c>
      <c r="I220" s="7" t="n">
        <v>84</v>
      </c>
      <c r="J220" s="8" t="n">
        <v>0.8</v>
      </c>
      <c r="K220" s="8" t="n">
        <v>1</v>
      </c>
      <c r="L220" s="8" t="n">
        <v>1</v>
      </c>
      <c r="M220" s="7" t="s">
        <v>38</v>
      </c>
      <c r="N220" s="7" t="s">
        <v>39</v>
      </c>
      <c r="O220" s="7" t="s">
        <v>172</v>
      </c>
      <c r="P220" s="9"/>
      <c r="Q220" s="9"/>
      <c r="R220" s="7" t="str">
        <f aca="false">IF(P220="",N220,P220)</f>
        <v>entrada não gerada</v>
      </c>
      <c r="S220" s="7" t="str">
        <f aca="false">IF(P220="","",IF(P220=N220,"sim","não"))</f>
        <v/>
      </c>
      <c r="T220" s="10" t="s">
        <v>423</v>
      </c>
    </row>
    <row r="221" customFormat="false" ht="28.35" hidden="false" customHeight="false" outlineLevel="0" collapsed="false">
      <c r="A221" s="7" t="n">
        <v>219</v>
      </c>
      <c r="B221" s="7" t="s">
        <v>343</v>
      </c>
      <c r="C221" s="7" t="s">
        <v>42</v>
      </c>
      <c r="D221" s="7" t="s">
        <v>398</v>
      </c>
      <c r="E221" s="7" t="n">
        <v>73</v>
      </c>
      <c r="F221" s="7" t="s">
        <v>424</v>
      </c>
      <c r="G221" s="7" t="s">
        <v>425</v>
      </c>
      <c r="H221" s="7" t="s">
        <v>133</v>
      </c>
      <c r="I221" s="7" t="n">
        <v>62</v>
      </c>
      <c r="J221" s="8" t="n">
        <v>0.133</v>
      </c>
      <c r="K221" s="8" t="n">
        <v>0.933</v>
      </c>
      <c r="L221" s="8" t="n">
        <v>1</v>
      </c>
      <c r="M221" s="7" t="s">
        <v>38</v>
      </c>
      <c r="N221" s="7" t="s">
        <v>39</v>
      </c>
      <c r="O221" s="7" t="s">
        <v>188</v>
      </c>
      <c r="P221" s="9"/>
      <c r="Q221" s="9"/>
      <c r="R221" s="7" t="str">
        <f aca="false">IF(P221="",N221,P221)</f>
        <v>entrada não gerada</v>
      </c>
      <c r="S221" s="7" t="str">
        <f aca="false">IF(P221="","",IF(P221=N221,"sim","não"))</f>
        <v/>
      </c>
      <c r="T221" s="10" t="s">
        <v>426</v>
      </c>
    </row>
    <row r="222" customFormat="false" ht="23.85" hidden="false" customHeight="false" outlineLevel="0" collapsed="false">
      <c r="A222" s="7" t="n">
        <v>220</v>
      </c>
      <c r="B222" s="7" t="s">
        <v>343</v>
      </c>
      <c r="C222" s="7" t="s">
        <v>42</v>
      </c>
      <c r="D222" s="7" t="s">
        <v>398</v>
      </c>
      <c r="E222" s="7" t="n">
        <v>83</v>
      </c>
      <c r="F222" s="7" t="s">
        <v>427</v>
      </c>
      <c r="G222" s="7" t="s">
        <v>350</v>
      </c>
      <c r="H222" s="7" t="s">
        <v>147</v>
      </c>
      <c r="I222" s="7" t="n">
        <v>67</v>
      </c>
      <c r="J222" s="8" t="n">
        <v>0.233</v>
      </c>
      <c r="K222" s="8" t="n">
        <v>1</v>
      </c>
      <c r="L222" s="8" t="n">
        <v>1</v>
      </c>
      <c r="M222" s="7" t="s">
        <v>38</v>
      </c>
      <c r="N222" s="7" t="s">
        <v>39</v>
      </c>
      <c r="O222" s="7" t="s">
        <v>90</v>
      </c>
      <c r="P222" s="9"/>
      <c r="Q222" s="9"/>
      <c r="R222" s="7" t="str">
        <f aca="false">IF(P222="",N222,P222)</f>
        <v>entrada não gerada</v>
      </c>
      <c r="S222" s="7" t="str">
        <f aca="false">IF(P222="","",IF(P222=N222,"sim","não"))</f>
        <v/>
      </c>
      <c r="T222" s="10" t="s">
        <v>428</v>
      </c>
    </row>
    <row r="223" customFormat="false" ht="23.85" hidden="false" customHeight="false" outlineLevel="0" collapsed="false">
      <c r="A223" s="7" t="n">
        <v>221</v>
      </c>
      <c r="B223" s="7" t="s">
        <v>343</v>
      </c>
      <c r="C223" s="7" t="s">
        <v>42</v>
      </c>
      <c r="D223" s="7" t="s">
        <v>398</v>
      </c>
      <c r="E223" s="7" t="n">
        <v>83</v>
      </c>
      <c r="F223" s="7" t="s">
        <v>427</v>
      </c>
      <c r="G223" s="7" t="s">
        <v>358</v>
      </c>
      <c r="H223" s="7" t="s">
        <v>147</v>
      </c>
      <c r="I223" s="7" t="n">
        <v>78</v>
      </c>
      <c r="J223" s="8" t="n">
        <v>0.6</v>
      </c>
      <c r="K223" s="8" t="n">
        <v>1</v>
      </c>
      <c r="L223" s="8" t="n">
        <v>1</v>
      </c>
      <c r="M223" s="7" t="s">
        <v>38</v>
      </c>
      <c r="N223" s="7" t="s">
        <v>39</v>
      </c>
      <c r="O223" s="7" t="s">
        <v>107</v>
      </c>
      <c r="P223" s="9"/>
      <c r="Q223" s="9"/>
      <c r="R223" s="7" t="str">
        <f aca="false">IF(P223="",N223,P223)</f>
        <v>entrada não gerada</v>
      </c>
      <c r="S223" s="7" t="str">
        <f aca="false">IF(P223="","",IF(P223=N223,"sim","não"))</f>
        <v/>
      </c>
      <c r="T223" s="10" t="s">
        <v>429</v>
      </c>
    </row>
    <row r="224" customFormat="false" ht="23.85" hidden="false" customHeight="false" outlineLevel="0" collapsed="false">
      <c r="A224" s="7" t="n">
        <v>222</v>
      </c>
      <c r="B224" s="7" t="s">
        <v>343</v>
      </c>
      <c r="C224" s="7" t="s">
        <v>42</v>
      </c>
      <c r="D224" s="7" t="s">
        <v>398</v>
      </c>
      <c r="E224" s="7" t="n">
        <v>84</v>
      </c>
      <c r="F224" s="7" t="s">
        <v>430</v>
      </c>
      <c r="G224" s="7" t="s">
        <v>392</v>
      </c>
      <c r="H224" s="7" t="s">
        <v>147</v>
      </c>
      <c r="I224" s="7" t="n">
        <v>71</v>
      </c>
      <c r="J224" s="8" t="n">
        <v>0.367</v>
      </c>
      <c r="K224" s="8" t="n">
        <v>1</v>
      </c>
      <c r="L224" s="8" t="n">
        <v>1</v>
      </c>
      <c r="M224" s="7" t="s">
        <v>38</v>
      </c>
      <c r="N224" s="7" t="s">
        <v>39</v>
      </c>
      <c r="O224" s="7" t="s">
        <v>50</v>
      </c>
      <c r="P224" s="9"/>
      <c r="Q224" s="9"/>
      <c r="R224" s="7" t="str">
        <f aca="false">IF(P224="",N224,P224)</f>
        <v>entrada não gerada</v>
      </c>
      <c r="S224" s="7" t="str">
        <f aca="false">IF(P224="","",IF(P224=N224,"sim","não"))</f>
        <v/>
      </c>
      <c r="T224" s="10" t="s">
        <v>431</v>
      </c>
    </row>
    <row r="225" customFormat="false" ht="35.05" hidden="false" customHeight="false" outlineLevel="0" collapsed="false">
      <c r="A225" s="7" t="n">
        <v>223</v>
      </c>
      <c r="B225" s="7" t="s">
        <v>343</v>
      </c>
      <c r="C225" s="7" t="s">
        <v>42</v>
      </c>
      <c r="D225" s="7" t="s">
        <v>398</v>
      </c>
      <c r="E225" s="7" t="n">
        <v>93</v>
      </c>
      <c r="F225" s="7" t="s">
        <v>432</v>
      </c>
      <c r="G225" s="7" t="s">
        <v>358</v>
      </c>
      <c r="H225" s="7" t="s">
        <v>95</v>
      </c>
      <c r="I225" s="7" t="n">
        <v>53</v>
      </c>
      <c r="J225" s="8" t="n">
        <v>0.167</v>
      </c>
      <c r="K225" s="8" t="n">
        <v>0.6</v>
      </c>
      <c r="L225" s="8" t="n">
        <v>1</v>
      </c>
      <c r="M225" s="7" t="s">
        <v>38</v>
      </c>
      <c r="N225" s="7" t="s">
        <v>39</v>
      </c>
      <c r="O225" s="7" t="s">
        <v>433</v>
      </c>
      <c r="P225" s="9"/>
      <c r="Q225" s="9"/>
      <c r="R225" s="7" t="str">
        <f aca="false">IF(P225="",N225,P225)</f>
        <v>entrada não gerada</v>
      </c>
      <c r="S225" s="7" t="str">
        <f aca="false">IF(P225="","",IF(P225=N225,"sim","não"))</f>
        <v/>
      </c>
      <c r="T225" s="10" t="s">
        <v>434</v>
      </c>
    </row>
    <row r="226" customFormat="false" ht="35.05" hidden="false" customHeight="false" outlineLevel="0" collapsed="false">
      <c r="A226" s="7" t="n">
        <v>224</v>
      </c>
      <c r="B226" s="7" t="s">
        <v>343</v>
      </c>
      <c r="C226" s="7" t="s">
        <v>42</v>
      </c>
      <c r="D226" s="7" t="s">
        <v>398</v>
      </c>
      <c r="E226" s="7" t="n">
        <v>93</v>
      </c>
      <c r="F226" s="7" t="s">
        <v>432</v>
      </c>
      <c r="G226" s="7" t="s">
        <v>346</v>
      </c>
      <c r="H226" s="7" t="s">
        <v>95</v>
      </c>
      <c r="I226" s="7" t="n">
        <v>66</v>
      </c>
      <c r="J226" s="8" t="n">
        <v>0.233</v>
      </c>
      <c r="K226" s="8" t="n">
        <v>0.967</v>
      </c>
      <c r="L226" s="8" t="n">
        <v>1</v>
      </c>
      <c r="M226" s="7" t="s">
        <v>38</v>
      </c>
      <c r="N226" s="7" t="s">
        <v>39</v>
      </c>
      <c r="O226" s="7" t="s">
        <v>178</v>
      </c>
      <c r="P226" s="9"/>
      <c r="Q226" s="9"/>
      <c r="R226" s="7" t="str">
        <f aca="false">IF(P226="",N226,P226)</f>
        <v>entrada não gerada</v>
      </c>
      <c r="S226" s="7" t="str">
        <f aca="false">IF(P226="","",IF(P226=N226,"sim","não"))</f>
        <v/>
      </c>
      <c r="T226" s="10" t="s">
        <v>435</v>
      </c>
    </row>
    <row r="227" customFormat="false" ht="35.05" hidden="false" customHeight="false" outlineLevel="0" collapsed="false">
      <c r="A227" s="7" t="n">
        <v>225</v>
      </c>
      <c r="B227" s="7" t="s">
        <v>343</v>
      </c>
      <c r="C227" s="7" t="s">
        <v>42</v>
      </c>
      <c r="D227" s="7" t="s">
        <v>398</v>
      </c>
      <c r="E227" s="7" t="n">
        <v>93</v>
      </c>
      <c r="F227" s="7" t="s">
        <v>432</v>
      </c>
      <c r="G227" s="7" t="s">
        <v>346</v>
      </c>
      <c r="H227" s="7" t="s">
        <v>95</v>
      </c>
      <c r="I227" s="7" t="n">
        <v>70</v>
      </c>
      <c r="J227" s="8" t="n">
        <v>0.367</v>
      </c>
      <c r="K227" s="8" t="n">
        <v>0.967</v>
      </c>
      <c r="L227" s="8" t="n">
        <v>1</v>
      </c>
      <c r="M227" s="7" t="s">
        <v>38</v>
      </c>
      <c r="N227" s="7" t="s">
        <v>39</v>
      </c>
      <c r="O227" s="7" t="s">
        <v>140</v>
      </c>
      <c r="P227" s="9"/>
      <c r="Q227" s="9"/>
      <c r="R227" s="7" t="str">
        <f aca="false">IF(P227="",N227,P227)</f>
        <v>entrada não gerada</v>
      </c>
      <c r="S227" s="7" t="str">
        <f aca="false">IF(P227="","",IF(P227=N227,"sim","não"))</f>
        <v/>
      </c>
      <c r="T227" s="10" t="s">
        <v>436</v>
      </c>
    </row>
    <row r="228" customFormat="false" ht="35.05" hidden="false" customHeight="false" outlineLevel="0" collapsed="false">
      <c r="A228" s="7" t="n">
        <v>226</v>
      </c>
      <c r="B228" s="7" t="s">
        <v>343</v>
      </c>
      <c r="C228" s="7" t="s">
        <v>42</v>
      </c>
      <c r="D228" s="7" t="s">
        <v>398</v>
      </c>
      <c r="E228" s="7" t="n">
        <v>93</v>
      </c>
      <c r="F228" s="7" t="s">
        <v>432</v>
      </c>
      <c r="G228" s="7" t="s">
        <v>346</v>
      </c>
      <c r="H228" s="7" t="s">
        <v>95</v>
      </c>
      <c r="I228" s="7" t="n">
        <v>53</v>
      </c>
      <c r="J228" s="8" t="n">
        <v>0.1</v>
      </c>
      <c r="K228" s="8" t="n">
        <v>0.667</v>
      </c>
      <c r="L228" s="8" t="n">
        <v>1</v>
      </c>
      <c r="M228" s="7" t="s">
        <v>38</v>
      </c>
      <c r="N228" s="7" t="s">
        <v>39</v>
      </c>
      <c r="O228" s="7" t="s">
        <v>433</v>
      </c>
      <c r="P228" s="9"/>
      <c r="Q228" s="9"/>
      <c r="R228" s="7" t="str">
        <f aca="false">IF(P228="",N228,P228)</f>
        <v>entrada não gerada</v>
      </c>
      <c r="S228" s="7" t="str">
        <f aca="false">IF(P228="","",IF(P228=N228,"sim","não"))</f>
        <v/>
      </c>
      <c r="T228" s="10" t="s">
        <v>437</v>
      </c>
    </row>
    <row r="229" customFormat="false" ht="35.05" hidden="false" customHeight="false" outlineLevel="0" collapsed="false">
      <c r="A229" s="7" t="n">
        <v>227</v>
      </c>
      <c r="B229" s="7" t="s">
        <v>343</v>
      </c>
      <c r="C229" s="7" t="s">
        <v>42</v>
      </c>
      <c r="D229" s="7" t="s">
        <v>398</v>
      </c>
      <c r="E229" s="7" t="n">
        <v>93</v>
      </c>
      <c r="F229" s="7" t="s">
        <v>432</v>
      </c>
      <c r="G229" s="7" t="s">
        <v>346</v>
      </c>
      <c r="H229" s="7" t="s">
        <v>95</v>
      </c>
      <c r="I229" s="7" t="n">
        <v>54</v>
      </c>
      <c r="J229" s="8" t="n">
        <v>0.133</v>
      </c>
      <c r="K229" s="8" t="n">
        <v>0.667</v>
      </c>
      <c r="L229" s="8" t="n">
        <v>1</v>
      </c>
      <c r="M229" s="7" t="s">
        <v>38</v>
      </c>
      <c r="N229" s="7" t="s">
        <v>39</v>
      </c>
      <c r="O229" s="7" t="s">
        <v>438</v>
      </c>
      <c r="P229" s="9"/>
      <c r="Q229" s="9"/>
      <c r="R229" s="7" t="str">
        <f aca="false">IF(P229="",N229,P229)</f>
        <v>entrada não gerada</v>
      </c>
      <c r="S229" s="7" t="str">
        <f aca="false">IF(P229="","",IF(P229=N229,"sim","não"))</f>
        <v/>
      </c>
      <c r="T229" s="10" t="s">
        <v>439</v>
      </c>
    </row>
    <row r="230" customFormat="false" ht="35.05" hidden="false" customHeight="false" outlineLevel="0" collapsed="false">
      <c r="A230" s="7" t="n">
        <v>228</v>
      </c>
      <c r="B230" s="7" t="s">
        <v>343</v>
      </c>
      <c r="C230" s="7" t="s">
        <v>42</v>
      </c>
      <c r="D230" s="7" t="s">
        <v>398</v>
      </c>
      <c r="E230" s="7" t="n">
        <v>93</v>
      </c>
      <c r="F230" s="7" t="s">
        <v>432</v>
      </c>
      <c r="G230" s="7" t="s">
        <v>440</v>
      </c>
      <c r="H230" s="7" t="s">
        <v>95</v>
      </c>
      <c r="I230" s="7" t="n">
        <v>71</v>
      </c>
      <c r="J230" s="8" t="n">
        <v>0.367</v>
      </c>
      <c r="K230" s="8" t="n">
        <v>1</v>
      </c>
      <c r="L230" s="8" t="n">
        <v>1</v>
      </c>
      <c r="M230" s="7" t="s">
        <v>38</v>
      </c>
      <c r="N230" s="7" t="s">
        <v>39</v>
      </c>
      <c r="O230" s="7" t="s">
        <v>50</v>
      </c>
      <c r="P230" s="9"/>
      <c r="Q230" s="9"/>
      <c r="R230" s="7" t="str">
        <f aca="false">IF(P230="",N230,P230)</f>
        <v>entrada não gerada</v>
      </c>
      <c r="S230" s="7" t="str">
        <f aca="false">IF(P230="","",IF(P230=N230,"sim","não"))</f>
        <v/>
      </c>
      <c r="T230" s="10" t="s">
        <v>441</v>
      </c>
    </row>
    <row r="231" customFormat="false" ht="35.05" hidden="false" customHeight="false" outlineLevel="0" collapsed="false">
      <c r="A231" s="7" t="n">
        <v>229</v>
      </c>
      <c r="B231" s="7" t="s">
        <v>343</v>
      </c>
      <c r="C231" s="7" t="s">
        <v>42</v>
      </c>
      <c r="D231" s="7" t="s">
        <v>398</v>
      </c>
      <c r="E231" s="7" t="n">
        <v>93</v>
      </c>
      <c r="F231" s="7" t="s">
        <v>432</v>
      </c>
      <c r="G231" s="7" t="s">
        <v>442</v>
      </c>
      <c r="H231" s="7" t="s">
        <v>95</v>
      </c>
      <c r="I231" s="7" t="n">
        <v>71</v>
      </c>
      <c r="J231" s="8" t="n">
        <v>0.467</v>
      </c>
      <c r="K231" s="8" t="n">
        <v>0.9</v>
      </c>
      <c r="L231" s="8" t="n">
        <v>1</v>
      </c>
      <c r="M231" s="7" t="s">
        <v>38</v>
      </c>
      <c r="N231" s="7" t="s">
        <v>39</v>
      </c>
      <c r="O231" s="7" t="s">
        <v>50</v>
      </c>
      <c r="P231" s="9"/>
      <c r="Q231" s="9"/>
      <c r="R231" s="7" t="str">
        <f aca="false">IF(P231="",N231,P231)</f>
        <v>entrada não gerada</v>
      </c>
      <c r="S231" s="7" t="str">
        <f aca="false">IF(P231="","",IF(P231=N231,"sim","não"))</f>
        <v/>
      </c>
      <c r="T231" s="10" t="s">
        <v>443</v>
      </c>
    </row>
    <row r="232" customFormat="false" ht="35.05" hidden="false" customHeight="false" outlineLevel="0" collapsed="false">
      <c r="A232" s="7" t="n">
        <v>230</v>
      </c>
      <c r="B232" s="7" t="s">
        <v>343</v>
      </c>
      <c r="C232" s="7" t="s">
        <v>42</v>
      </c>
      <c r="D232" s="7" t="s">
        <v>398</v>
      </c>
      <c r="E232" s="7" t="n">
        <v>93</v>
      </c>
      <c r="F232" s="7" t="s">
        <v>432</v>
      </c>
      <c r="G232" s="7" t="s">
        <v>444</v>
      </c>
      <c r="H232" s="7" t="s">
        <v>95</v>
      </c>
      <c r="I232" s="7" t="n">
        <v>22</v>
      </c>
      <c r="J232" s="8" t="n">
        <v>0.033</v>
      </c>
      <c r="K232" s="8" t="n">
        <v>0.2</v>
      </c>
      <c r="L232" s="8" t="n">
        <v>0.5</v>
      </c>
      <c r="M232" s="7" t="s">
        <v>38</v>
      </c>
      <c r="N232" s="7" t="s">
        <v>39</v>
      </c>
      <c r="O232" s="7" t="s">
        <v>445</v>
      </c>
      <c r="P232" s="9"/>
      <c r="Q232" s="9"/>
      <c r="R232" s="7" t="str">
        <f aca="false">IF(P232="",N232,P232)</f>
        <v>entrada não gerada</v>
      </c>
      <c r="S232" s="7" t="str">
        <f aca="false">IF(P232="","",IF(P232=N232,"sim","não"))</f>
        <v/>
      </c>
      <c r="T232" s="10" t="s">
        <v>446</v>
      </c>
    </row>
    <row r="233" customFormat="false" ht="35.05" hidden="false" customHeight="false" outlineLevel="0" collapsed="false">
      <c r="A233" s="7" t="n">
        <v>231</v>
      </c>
      <c r="B233" s="7" t="s">
        <v>343</v>
      </c>
      <c r="C233" s="7" t="s">
        <v>42</v>
      </c>
      <c r="D233" s="7" t="s">
        <v>398</v>
      </c>
      <c r="E233" s="7" t="n">
        <v>93</v>
      </c>
      <c r="F233" s="7" t="s">
        <v>432</v>
      </c>
      <c r="G233" s="7" t="s">
        <v>447</v>
      </c>
      <c r="H233" s="7" t="s">
        <v>95</v>
      </c>
      <c r="I233" s="7" t="n">
        <v>69</v>
      </c>
      <c r="J233" s="8" t="n">
        <v>0.367</v>
      </c>
      <c r="K233" s="8" t="n">
        <v>0.933</v>
      </c>
      <c r="L233" s="8" t="n">
        <v>1</v>
      </c>
      <c r="M233" s="7" t="s">
        <v>38</v>
      </c>
      <c r="N233" s="7" t="s">
        <v>39</v>
      </c>
      <c r="O233" s="7" t="s">
        <v>126</v>
      </c>
      <c r="P233" s="9"/>
      <c r="Q233" s="9"/>
      <c r="R233" s="7" t="str">
        <f aca="false">IF(P233="",N233,P233)</f>
        <v>entrada não gerada</v>
      </c>
      <c r="S233" s="7" t="str">
        <f aca="false">IF(P233="","",IF(P233=N233,"sim","não"))</f>
        <v/>
      </c>
      <c r="T233" s="10" t="s">
        <v>448</v>
      </c>
    </row>
    <row r="234" customFormat="false" ht="23.85" hidden="false" customHeight="false" outlineLevel="0" collapsed="false">
      <c r="A234" s="7" t="n">
        <v>232</v>
      </c>
      <c r="B234" s="7" t="s">
        <v>343</v>
      </c>
      <c r="C234" s="7" t="s">
        <v>42</v>
      </c>
      <c r="D234" s="7" t="s">
        <v>398</v>
      </c>
      <c r="E234" s="7" t="n">
        <v>94</v>
      </c>
      <c r="F234" s="7" t="s">
        <v>449</v>
      </c>
      <c r="G234" s="7" t="s">
        <v>346</v>
      </c>
      <c r="H234" s="7" t="s">
        <v>95</v>
      </c>
      <c r="I234" s="7" t="n">
        <v>63</v>
      </c>
      <c r="J234" s="8" t="n">
        <v>0.2</v>
      </c>
      <c r="K234" s="8" t="n">
        <v>0.9</v>
      </c>
      <c r="L234" s="8" t="n">
        <v>1</v>
      </c>
      <c r="M234" s="7" t="s">
        <v>38</v>
      </c>
      <c r="N234" s="7" t="s">
        <v>39</v>
      </c>
      <c r="O234" s="7" t="s">
        <v>86</v>
      </c>
      <c r="P234" s="9"/>
      <c r="Q234" s="9"/>
      <c r="R234" s="7" t="str">
        <f aca="false">IF(P234="",N234,P234)</f>
        <v>entrada não gerada</v>
      </c>
      <c r="S234" s="7" t="str">
        <f aca="false">IF(P234="","",IF(P234=N234,"sim","não"))</f>
        <v/>
      </c>
      <c r="T234" s="10" t="s">
        <v>450</v>
      </c>
    </row>
    <row r="235" customFormat="false" ht="28.35" hidden="false" customHeight="false" outlineLevel="0" collapsed="false">
      <c r="A235" s="7" t="n">
        <v>233</v>
      </c>
      <c r="B235" s="7" t="s">
        <v>343</v>
      </c>
      <c r="C235" s="7" t="s">
        <v>42</v>
      </c>
      <c r="D235" s="7" t="s">
        <v>398</v>
      </c>
      <c r="E235" s="7" t="n">
        <v>94</v>
      </c>
      <c r="F235" s="7" t="s">
        <v>449</v>
      </c>
      <c r="G235" s="7" t="s">
        <v>451</v>
      </c>
      <c r="H235" s="7" t="s">
        <v>95</v>
      </c>
      <c r="I235" s="7" t="n">
        <v>36</v>
      </c>
      <c r="J235" s="8" t="n">
        <v>0.067</v>
      </c>
      <c r="K235" s="8" t="n">
        <v>0.333</v>
      </c>
      <c r="L235" s="8" t="n">
        <v>0.8</v>
      </c>
      <c r="M235" s="7" t="s">
        <v>38</v>
      </c>
      <c r="N235" s="7" t="s">
        <v>39</v>
      </c>
      <c r="O235" s="7" t="s">
        <v>452</v>
      </c>
      <c r="P235" s="9"/>
      <c r="Q235" s="9"/>
      <c r="R235" s="7" t="str">
        <f aca="false">IF(P235="",N235,P235)</f>
        <v>entrada não gerada</v>
      </c>
      <c r="S235" s="7" t="str">
        <f aca="false">IF(P235="","",IF(P235=N235,"sim","não"))</f>
        <v/>
      </c>
      <c r="T235" s="10" t="s">
        <v>453</v>
      </c>
    </row>
    <row r="236" customFormat="false" ht="23.85" hidden="false" customHeight="false" outlineLevel="0" collapsed="false">
      <c r="A236" s="7" t="n">
        <v>234</v>
      </c>
      <c r="B236" s="7" t="s">
        <v>343</v>
      </c>
      <c r="C236" s="7" t="s">
        <v>42</v>
      </c>
      <c r="D236" s="7" t="s">
        <v>398</v>
      </c>
      <c r="E236" s="7" t="n">
        <v>95</v>
      </c>
      <c r="F236" s="7" t="s">
        <v>454</v>
      </c>
      <c r="G236" s="7" t="s">
        <v>358</v>
      </c>
      <c r="H236" s="7" t="s">
        <v>95</v>
      </c>
      <c r="I236" s="7" t="n">
        <v>88</v>
      </c>
      <c r="J236" s="8" t="n">
        <v>0.933</v>
      </c>
      <c r="K236" s="8" t="n">
        <v>1</v>
      </c>
      <c r="L236" s="8" t="n">
        <v>1</v>
      </c>
      <c r="M236" s="7" t="s">
        <v>38</v>
      </c>
      <c r="N236" s="7" t="s">
        <v>39</v>
      </c>
      <c r="O236" s="7" t="s">
        <v>46</v>
      </c>
      <c r="P236" s="9"/>
      <c r="Q236" s="9"/>
      <c r="R236" s="7" t="str">
        <f aca="false">IF(P236="",N236,P236)</f>
        <v>entrada não gerada</v>
      </c>
      <c r="S236" s="7" t="str">
        <f aca="false">IF(P236="","",IF(P236=N236,"sim","não"))</f>
        <v/>
      </c>
      <c r="T236" s="10" t="s">
        <v>455</v>
      </c>
    </row>
    <row r="237" customFormat="false" ht="23.85" hidden="false" customHeight="false" outlineLevel="0" collapsed="false">
      <c r="A237" s="7" t="n">
        <v>235</v>
      </c>
      <c r="B237" s="7" t="s">
        <v>343</v>
      </c>
      <c r="C237" s="7" t="s">
        <v>42</v>
      </c>
      <c r="D237" s="7" t="s">
        <v>398</v>
      </c>
      <c r="E237" s="7" t="n">
        <v>95</v>
      </c>
      <c r="F237" s="7" t="s">
        <v>454</v>
      </c>
      <c r="G237" s="7" t="s">
        <v>358</v>
      </c>
      <c r="H237" s="7" t="s">
        <v>95</v>
      </c>
      <c r="I237" s="7" t="n">
        <v>61</v>
      </c>
      <c r="J237" s="8" t="n">
        <v>0.2</v>
      </c>
      <c r="K237" s="8" t="n">
        <v>0.833</v>
      </c>
      <c r="L237" s="8" t="n">
        <v>1</v>
      </c>
      <c r="M237" s="7" t="s">
        <v>38</v>
      </c>
      <c r="N237" s="7" t="s">
        <v>39</v>
      </c>
      <c r="O237" s="7" t="s">
        <v>76</v>
      </c>
      <c r="P237" s="9"/>
      <c r="Q237" s="9"/>
      <c r="R237" s="7" t="str">
        <f aca="false">IF(P237="",N237,P237)</f>
        <v>entrada não gerada</v>
      </c>
      <c r="S237" s="7" t="str">
        <f aca="false">IF(P237="","",IF(P237=N237,"sim","não"))</f>
        <v/>
      </c>
      <c r="T237" s="10" t="s">
        <v>456</v>
      </c>
    </row>
    <row r="238" customFormat="false" ht="23.85" hidden="false" customHeight="false" outlineLevel="0" collapsed="false">
      <c r="A238" s="7" t="n">
        <v>236</v>
      </c>
      <c r="B238" s="7" t="s">
        <v>343</v>
      </c>
      <c r="C238" s="7" t="s">
        <v>42</v>
      </c>
      <c r="D238" s="7" t="s">
        <v>398</v>
      </c>
      <c r="E238" s="7" t="n">
        <v>95</v>
      </c>
      <c r="F238" s="7" t="s">
        <v>454</v>
      </c>
      <c r="G238" s="7" t="s">
        <v>358</v>
      </c>
      <c r="H238" s="7" t="s">
        <v>95</v>
      </c>
      <c r="I238" s="7" t="n">
        <v>88</v>
      </c>
      <c r="J238" s="8" t="n">
        <v>0.933</v>
      </c>
      <c r="K238" s="8" t="n">
        <v>1</v>
      </c>
      <c r="L238" s="8" t="n">
        <v>1</v>
      </c>
      <c r="M238" s="7" t="s">
        <v>38</v>
      </c>
      <c r="N238" s="7" t="s">
        <v>39</v>
      </c>
      <c r="O238" s="7" t="s">
        <v>46</v>
      </c>
      <c r="P238" s="9"/>
      <c r="Q238" s="9"/>
      <c r="R238" s="7" t="str">
        <f aca="false">IF(P238="",N238,P238)</f>
        <v>entrada não gerada</v>
      </c>
      <c r="S238" s="7" t="str">
        <f aca="false">IF(P238="","",IF(P238=N238,"sim","não"))</f>
        <v/>
      </c>
      <c r="T238" s="10" t="s">
        <v>457</v>
      </c>
    </row>
    <row r="239" customFormat="false" ht="23.85" hidden="false" customHeight="false" outlineLevel="0" collapsed="false">
      <c r="A239" s="7" t="n">
        <v>237</v>
      </c>
      <c r="B239" s="7" t="s">
        <v>343</v>
      </c>
      <c r="C239" s="7" t="s">
        <v>42</v>
      </c>
      <c r="D239" s="7" t="s">
        <v>398</v>
      </c>
      <c r="E239" s="7" t="n">
        <v>95</v>
      </c>
      <c r="F239" s="7" t="s">
        <v>454</v>
      </c>
      <c r="G239" s="7" t="s">
        <v>458</v>
      </c>
      <c r="H239" s="7" t="s">
        <v>95</v>
      </c>
      <c r="I239" s="7" t="n">
        <v>85</v>
      </c>
      <c r="J239" s="8" t="n">
        <v>0.833</v>
      </c>
      <c r="K239" s="8" t="n">
        <v>1</v>
      </c>
      <c r="L239" s="8" t="n">
        <v>1</v>
      </c>
      <c r="M239" s="7" t="s">
        <v>38</v>
      </c>
      <c r="N239" s="7" t="s">
        <v>39</v>
      </c>
      <c r="O239" s="7" t="s">
        <v>151</v>
      </c>
      <c r="P239" s="9"/>
      <c r="Q239" s="9"/>
      <c r="R239" s="7" t="str">
        <f aca="false">IF(P239="",N239,P239)</f>
        <v>entrada não gerada</v>
      </c>
      <c r="S239" s="7" t="str">
        <f aca="false">IF(P239="","",IF(P239=N239,"sim","não"))</f>
        <v/>
      </c>
      <c r="T239" s="10" t="s">
        <v>459</v>
      </c>
    </row>
    <row r="240" customFormat="false" ht="23.85" hidden="false" customHeight="false" outlineLevel="0" collapsed="false">
      <c r="A240" s="7" t="n">
        <v>238</v>
      </c>
      <c r="B240" s="7" t="s">
        <v>343</v>
      </c>
      <c r="C240" s="7" t="s">
        <v>42</v>
      </c>
      <c r="D240" s="7" t="s">
        <v>398</v>
      </c>
      <c r="E240" s="7" t="n">
        <v>99</v>
      </c>
      <c r="F240" s="7" t="s">
        <v>460</v>
      </c>
      <c r="G240" s="7" t="s">
        <v>461</v>
      </c>
      <c r="H240" s="7" t="s">
        <v>95</v>
      </c>
      <c r="I240" s="7" t="n">
        <v>83</v>
      </c>
      <c r="J240" s="8" t="n">
        <v>0.767</v>
      </c>
      <c r="K240" s="8" t="n">
        <v>1</v>
      </c>
      <c r="L240" s="8" t="n">
        <v>1</v>
      </c>
      <c r="M240" s="7" t="s">
        <v>38</v>
      </c>
      <c r="N240" s="7" t="s">
        <v>39</v>
      </c>
      <c r="O240" s="7" t="s">
        <v>207</v>
      </c>
      <c r="P240" s="9"/>
      <c r="Q240" s="9"/>
      <c r="R240" s="7" t="str">
        <f aca="false">IF(P240="",N240,P240)</f>
        <v>entrada não gerada</v>
      </c>
      <c r="S240" s="7" t="str">
        <f aca="false">IF(P240="","",IF(P240=N240,"sim","não"))</f>
        <v/>
      </c>
      <c r="T240" s="10" t="s">
        <v>462</v>
      </c>
    </row>
    <row r="241" customFormat="false" ht="23.85" hidden="false" customHeight="false" outlineLevel="0" collapsed="false">
      <c r="A241" s="7" t="n">
        <v>239</v>
      </c>
      <c r="B241" s="7" t="s">
        <v>343</v>
      </c>
      <c r="C241" s="7" t="s">
        <v>42</v>
      </c>
      <c r="D241" s="7" t="s">
        <v>398</v>
      </c>
      <c r="E241" s="7" t="n">
        <v>108</v>
      </c>
      <c r="F241" s="7" t="s">
        <v>180</v>
      </c>
      <c r="G241" s="7" t="s">
        <v>461</v>
      </c>
      <c r="H241" s="7" t="s">
        <v>182</v>
      </c>
      <c r="I241" s="7" t="n">
        <v>88</v>
      </c>
      <c r="J241" s="8" t="n">
        <v>0.933</v>
      </c>
      <c r="K241" s="8" t="n">
        <v>1</v>
      </c>
      <c r="L241" s="8" t="n">
        <v>1</v>
      </c>
      <c r="M241" s="7" t="s">
        <v>38</v>
      </c>
      <c r="N241" s="7" t="s">
        <v>39</v>
      </c>
      <c r="O241" s="7" t="s">
        <v>46</v>
      </c>
      <c r="P241" s="9"/>
      <c r="Q241" s="9"/>
      <c r="R241" s="7" t="str">
        <f aca="false">IF(P241="",N241,P241)</f>
        <v>entrada não gerada</v>
      </c>
      <c r="S241" s="7" t="str">
        <f aca="false">IF(P241="","",IF(P241=N241,"sim","não"))</f>
        <v/>
      </c>
      <c r="T241" s="10" t="s">
        <v>463</v>
      </c>
    </row>
    <row r="242" customFormat="false" ht="23.85" hidden="false" customHeight="false" outlineLevel="0" collapsed="false">
      <c r="A242" s="7" t="n">
        <v>240</v>
      </c>
      <c r="B242" s="7" t="s">
        <v>343</v>
      </c>
      <c r="C242" s="7" t="s">
        <v>42</v>
      </c>
      <c r="D242" s="7" t="s">
        <v>398</v>
      </c>
      <c r="E242" s="7" t="n">
        <v>126</v>
      </c>
      <c r="F242" s="7" t="s">
        <v>464</v>
      </c>
      <c r="G242" s="7" t="s">
        <v>461</v>
      </c>
      <c r="H242" s="7" t="s">
        <v>185</v>
      </c>
      <c r="I242" s="7" t="n">
        <v>89</v>
      </c>
      <c r="J242" s="8" t="n">
        <v>0.967</v>
      </c>
      <c r="K242" s="8" t="n">
        <v>1</v>
      </c>
      <c r="L242" s="8" t="n">
        <v>1</v>
      </c>
      <c r="M242" s="7" t="s">
        <v>38</v>
      </c>
      <c r="N242" s="7" t="s">
        <v>39</v>
      </c>
      <c r="O242" s="7" t="s">
        <v>56</v>
      </c>
      <c r="P242" s="9"/>
      <c r="Q242" s="9"/>
      <c r="R242" s="7" t="str">
        <f aca="false">IF(P242="",N242,P242)</f>
        <v>entrada não gerada</v>
      </c>
      <c r="S242" s="7" t="str">
        <f aca="false">IF(P242="","",IF(P242=N242,"sim","não"))</f>
        <v/>
      </c>
      <c r="T242" s="10" t="s">
        <v>465</v>
      </c>
    </row>
    <row r="243" customFormat="false" ht="23.85" hidden="false" customHeight="false" outlineLevel="0" collapsed="false">
      <c r="A243" s="7" t="n">
        <v>241</v>
      </c>
      <c r="B243" s="7" t="s">
        <v>343</v>
      </c>
      <c r="C243" s="7" t="s">
        <v>42</v>
      </c>
      <c r="D243" s="7" t="s">
        <v>398</v>
      </c>
      <c r="E243" s="7" t="n">
        <v>127</v>
      </c>
      <c r="F243" s="7" t="s">
        <v>187</v>
      </c>
      <c r="G243" s="7" t="s">
        <v>350</v>
      </c>
      <c r="H243" s="7" t="s">
        <v>185</v>
      </c>
      <c r="I243" s="7" t="n">
        <v>71</v>
      </c>
      <c r="J243" s="8" t="n">
        <v>0.367</v>
      </c>
      <c r="K243" s="8" t="n">
        <v>1</v>
      </c>
      <c r="L243" s="8" t="n">
        <v>1</v>
      </c>
      <c r="M243" s="7" t="s">
        <v>38</v>
      </c>
      <c r="N243" s="7" t="s">
        <v>39</v>
      </c>
      <c r="O243" s="7" t="s">
        <v>50</v>
      </c>
      <c r="P243" s="9"/>
      <c r="Q243" s="9"/>
      <c r="R243" s="7" t="str">
        <f aca="false">IF(P243="",N243,P243)</f>
        <v>entrada não gerada</v>
      </c>
      <c r="S243" s="7" t="str">
        <f aca="false">IF(P243="","",IF(P243=N243,"sim","não"))</f>
        <v/>
      </c>
      <c r="T243" s="10" t="s">
        <v>466</v>
      </c>
    </row>
    <row r="244" customFormat="false" ht="23.85" hidden="false" customHeight="false" outlineLevel="0" collapsed="false">
      <c r="A244" s="7" t="n">
        <v>242</v>
      </c>
      <c r="B244" s="7" t="s">
        <v>343</v>
      </c>
      <c r="C244" s="7" t="s">
        <v>42</v>
      </c>
      <c r="D244" s="7" t="s">
        <v>398</v>
      </c>
      <c r="E244" s="7" t="n">
        <v>127</v>
      </c>
      <c r="F244" s="7" t="s">
        <v>187</v>
      </c>
      <c r="G244" s="7" t="s">
        <v>358</v>
      </c>
      <c r="H244" s="7" t="s">
        <v>185</v>
      </c>
      <c r="I244" s="7" t="n">
        <v>80</v>
      </c>
      <c r="J244" s="8" t="n">
        <v>0.667</v>
      </c>
      <c r="K244" s="8" t="n">
        <v>1</v>
      </c>
      <c r="L244" s="8" t="n">
        <v>1</v>
      </c>
      <c r="M244" s="7" t="s">
        <v>38</v>
      </c>
      <c r="N244" s="7" t="s">
        <v>39</v>
      </c>
      <c r="O244" s="7" t="s">
        <v>115</v>
      </c>
      <c r="P244" s="9"/>
      <c r="Q244" s="9"/>
      <c r="R244" s="7" t="str">
        <f aca="false">IF(P244="",N244,P244)</f>
        <v>entrada não gerada</v>
      </c>
      <c r="S244" s="7" t="str">
        <f aca="false">IF(P244="","",IF(P244=N244,"sim","não"))</f>
        <v/>
      </c>
      <c r="T244" s="10" t="s">
        <v>467</v>
      </c>
    </row>
    <row r="245" customFormat="false" ht="23.85" hidden="false" customHeight="false" outlineLevel="0" collapsed="false">
      <c r="A245" s="7" t="n">
        <v>243</v>
      </c>
      <c r="B245" s="7" t="s">
        <v>343</v>
      </c>
      <c r="C245" s="7" t="s">
        <v>42</v>
      </c>
      <c r="D245" s="7" t="s">
        <v>398</v>
      </c>
      <c r="E245" s="7" t="n">
        <v>127</v>
      </c>
      <c r="F245" s="7" t="s">
        <v>187</v>
      </c>
      <c r="G245" s="7" t="s">
        <v>468</v>
      </c>
      <c r="H245" s="7" t="s">
        <v>185</v>
      </c>
      <c r="I245" s="7" t="n">
        <v>69</v>
      </c>
      <c r="J245" s="8" t="n">
        <v>0.333</v>
      </c>
      <c r="K245" s="8" t="n">
        <v>0.967</v>
      </c>
      <c r="L245" s="8" t="n">
        <v>1</v>
      </c>
      <c r="M245" s="7" t="s">
        <v>38</v>
      </c>
      <c r="N245" s="7" t="s">
        <v>39</v>
      </c>
      <c r="O245" s="7" t="s">
        <v>126</v>
      </c>
      <c r="P245" s="9"/>
      <c r="Q245" s="9"/>
      <c r="R245" s="7" t="str">
        <f aca="false">IF(P245="",N245,P245)</f>
        <v>entrada não gerada</v>
      </c>
      <c r="S245" s="7" t="str">
        <f aca="false">IF(P245="","",IF(P245=N245,"sim","não"))</f>
        <v/>
      </c>
      <c r="T245" s="10" t="s">
        <v>469</v>
      </c>
    </row>
    <row r="246" customFormat="false" ht="23.85" hidden="false" customHeight="false" outlineLevel="0" collapsed="false">
      <c r="A246" s="7" t="n">
        <v>244</v>
      </c>
      <c r="B246" s="7" t="s">
        <v>343</v>
      </c>
      <c r="C246" s="7" t="s">
        <v>42</v>
      </c>
      <c r="D246" s="7" t="s">
        <v>398</v>
      </c>
      <c r="E246" s="7" t="n">
        <v>128</v>
      </c>
      <c r="F246" s="7" t="s">
        <v>470</v>
      </c>
      <c r="G246" s="7" t="s">
        <v>392</v>
      </c>
      <c r="H246" s="7" t="s">
        <v>185</v>
      </c>
      <c r="I246" s="7" t="n">
        <v>76</v>
      </c>
      <c r="J246" s="8" t="n">
        <v>0.533</v>
      </c>
      <c r="K246" s="8" t="n">
        <v>1</v>
      </c>
      <c r="L246" s="8" t="n">
        <v>1</v>
      </c>
      <c r="M246" s="7" t="s">
        <v>38</v>
      </c>
      <c r="N246" s="7" t="s">
        <v>39</v>
      </c>
      <c r="O246" s="7" t="s">
        <v>64</v>
      </c>
      <c r="P246" s="9"/>
      <c r="Q246" s="9"/>
      <c r="R246" s="7" t="str">
        <f aca="false">IF(P246="",N246,P246)</f>
        <v>entrada não gerada</v>
      </c>
      <c r="S246" s="7" t="str">
        <f aca="false">IF(P246="","",IF(P246=N246,"sim","não"))</f>
        <v/>
      </c>
      <c r="T246" s="10" t="s">
        <v>471</v>
      </c>
    </row>
    <row r="247" customFormat="false" ht="23.85" hidden="false" customHeight="false" outlineLevel="0" collapsed="false">
      <c r="A247" s="7" t="n">
        <v>245</v>
      </c>
      <c r="B247" s="7" t="s">
        <v>343</v>
      </c>
      <c r="C247" s="7" t="s">
        <v>42</v>
      </c>
      <c r="D247" s="7" t="s">
        <v>398</v>
      </c>
      <c r="E247" s="7" t="n">
        <v>131</v>
      </c>
      <c r="F247" s="7" t="s">
        <v>472</v>
      </c>
      <c r="G247" s="7" t="s">
        <v>350</v>
      </c>
      <c r="H247" s="7" t="s">
        <v>185</v>
      </c>
      <c r="I247" s="7" t="n">
        <v>71</v>
      </c>
      <c r="J247" s="8" t="n">
        <v>0.367</v>
      </c>
      <c r="K247" s="8" t="n">
        <v>1</v>
      </c>
      <c r="L247" s="8" t="n">
        <v>1</v>
      </c>
      <c r="M247" s="7" t="s">
        <v>38</v>
      </c>
      <c r="N247" s="7" t="s">
        <v>39</v>
      </c>
      <c r="O247" s="7" t="s">
        <v>50</v>
      </c>
      <c r="P247" s="9"/>
      <c r="Q247" s="9"/>
      <c r="R247" s="7" t="str">
        <f aca="false">IF(P247="",N247,P247)</f>
        <v>entrada não gerada</v>
      </c>
      <c r="S247" s="7" t="str">
        <f aca="false">IF(P247="","",IF(P247=N247,"sim","não"))</f>
        <v/>
      </c>
      <c r="T247" s="10" t="s">
        <v>473</v>
      </c>
    </row>
    <row r="248" customFormat="false" ht="23.85" hidden="false" customHeight="false" outlineLevel="0" collapsed="false">
      <c r="A248" s="7" t="n">
        <v>246</v>
      </c>
      <c r="B248" s="7" t="s">
        <v>343</v>
      </c>
      <c r="C248" s="7" t="s">
        <v>42</v>
      </c>
      <c r="D248" s="7" t="s">
        <v>398</v>
      </c>
      <c r="E248" s="7" t="n">
        <v>131</v>
      </c>
      <c r="F248" s="7" t="s">
        <v>472</v>
      </c>
      <c r="G248" s="7" t="s">
        <v>358</v>
      </c>
      <c r="H248" s="7" t="s">
        <v>185</v>
      </c>
      <c r="I248" s="7" t="n">
        <v>81</v>
      </c>
      <c r="J248" s="8" t="n">
        <v>0.7</v>
      </c>
      <c r="K248" s="8" t="n">
        <v>1</v>
      </c>
      <c r="L248" s="8" t="n">
        <v>1</v>
      </c>
      <c r="M248" s="7" t="s">
        <v>38</v>
      </c>
      <c r="N248" s="7" t="s">
        <v>39</v>
      </c>
      <c r="O248" s="7" t="s">
        <v>388</v>
      </c>
      <c r="P248" s="9"/>
      <c r="Q248" s="9"/>
      <c r="R248" s="7" t="str">
        <f aca="false">IF(P248="",N248,P248)</f>
        <v>entrada não gerada</v>
      </c>
      <c r="S248" s="7" t="str">
        <f aca="false">IF(P248="","",IF(P248=N248,"sim","não"))</f>
        <v/>
      </c>
      <c r="T248" s="10" t="s">
        <v>474</v>
      </c>
    </row>
    <row r="249" customFormat="false" ht="23.85" hidden="false" customHeight="false" outlineLevel="0" collapsed="false">
      <c r="A249" s="7" t="n">
        <v>247</v>
      </c>
      <c r="B249" s="7" t="s">
        <v>343</v>
      </c>
      <c r="C249" s="7" t="s">
        <v>42</v>
      </c>
      <c r="D249" s="7" t="s">
        <v>398</v>
      </c>
      <c r="E249" s="7" t="n">
        <v>132</v>
      </c>
      <c r="F249" s="7" t="s">
        <v>475</v>
      </c>
      <c r="G249" s="7" t="s">
        <v>392</v>
      </c>
      <c r="H249" s="7" t="s">
        <v>185</v>
      </c>
      <c r="I249" s="7" t="n">
        <v>73</v>
      </c>
      <c r="J249" s="8" t="n">
        <v>0.433</v>
      </c>
      <c r="K249" s="8" t="n">
        <v>1</v>
      </c>
      <c r="L249" s="8" t="n">
        <v>1</v>
      </c>
      <c r="M249" s="7" t="s">
        <v>38</v>
      </c>
      <c r="N249" s="7" t="s">
        <v>39</v>
      </c>
      <c r="O249" s="7" t="s">
        <v>66</v>
      </c>
      <c r="P249" s="9"/>
      <c r="Q249" s="9"/>
      <c r="R249" s="7" t="str">
        <f aca="false">IF(P249="",N249,P249)</f>
        <v>entrada não gerada</v>
      </c>
      <c r="S249" s="7" t="str">
        <f aca="false">IF(P249="","",IF(P249=N249,"sim","não"))</f>
        <v/>
      </c>
      <c r="T249" s="10" t="s">
        <v>476</v>
      </c>
    </row>
    <row r="250" customFormat="false" ht="23.85" hidden="false" customHeight="false" outlineLevel="0" collapsed="false">
      <c r="A250" s="7" t="n">
        <v>248</v>
      </c>
      <c r="B250" s="7" t="s">
        <v>343</v>
      </c>
      <c r="C250" s="7" t="s">
        <v>42</v>
      </c>
      <c r="D250" s="7" t="s">
        <v>398</v>
      </c>
      <c r="E250" s="7" t="n">
        <v>153</v>
      </c>
      <c r="F250" s="7" t="s">
        <v>477</v>
      </c>
      <c r="G250" s="7" t="s">
        <v>346</v>
      </c>
      <c r="H250" s="7" t="s">
        <v>37</v>
      </c>
      <c r="I250" s="7" t="n">
        <v>82</v>
      </c>
      <c r="J250" s="8" t="n">
        <v>0.733</v>
      </c>
      <c r="K250" s="8" t="n">
        <v>1</v>
      </c>
      <c r="L250" s="8" t="n">
        <v>1</v>
      </c>
      <c r="M250" s="7" t="s">
        <v>38</v>
      </c>
      <c r="N250" s="7" t="s">
        <v>39</v>
      </c>
      <c r="O250" s="7" t="s">
        <v>256</v>
      </c>
      <c r="P250" s="9"/>
      <c r="Q250" s="9"/>
      <c r="R250" s="7" t="str">
        <f aca="false">IF(P250="",N250,P250)</f>
        <v>entrada não gerada</v>
      </c>
      <c r="S250" s="7" t="str">
        <f aca="false">IF(P250="","",IF(P250=N250,"sim","não"))</f>
        <v/>
      </c>
      <c r="T250" s="10" t="s">
        <v>478</v>
      </c>
    </row>
    <row r="251" customFormat="false" ht="28.35" hidden="false" customHeight="false" outlineLevel="0" collapsed="false">
      <c r="A251" s="7" t="n">
        <v>249</v>
      </c>
      <c r="B251" s="7" t="s">
        <v>343</v>
      </c>
      <c r="C251" s="7" t="s">
        <v>42</v>
      </c>
      <c r="D251" s="7" t="s">
        <v>398</v>
      </c>
      <c r="E251" s="7" t="n">
        <v>153</v>
      </c>
      <c r="F251" s="7" t="s">
        <v>477</v>
      </c>
      <c r="G251" s="7" t="s">
        <v>479</v>
      </c>
      <c r="H251" s="7" t="s">
        <v>37</v>
      </c>
      <c r="I251" s="7" t="n">
        <v>82</v>
      </c>
      <c r="J251" s="8" t="n">
        <v>0.733</v>
      </c>
      <c r="K251" s="8" t="n">
        <v>1</v>
      </c>
      <c r="L251" s="8" t="n">
        <v>1</v>
      </c>
      <c r="M251" s="7" t="s">
        <v>38</v>
      </c>
      <c r="N251" s="7" t="s">
        <v>39</v>
      </c>
      <c r="O251" s="7" t="s">
        <v>256</v>
      </c>
      <c r="P251" s="9"/>
      <c r="Q251" s="9"/>
      <c r="R251" s="7" t="str">
        <f aca="false">IF(P251="",N251,P251)</f>
        <v>entrada não gerada</v>
      </c>
      <c r="S251" s="7" t="str">
        <f aca="false">IF(P251="","",IF(P251=N251,"sim","não"))</f>
        <v/>
      </c>
      <c r="T251" s="10" t="s">
        <v>480</v>
      </c>
    </row>
    <row r="252" customFormat="false" ht="23.85" hidden="false" customHeight="false" outlineLevel="0" collapsed="false">
      <c r="A252" s="7" t="n">
        <v>250</v>
      </c>
      <c r="B252" s="7" t="s">
        <v>343</v>
      </c>
      <c r="C252" s="7" t="s">
        <v>42</v>
      </c>
      <c r="D252" s="7" t="s">
        <v>398</v>
      </c>
      <c r="E252" s="7" t="n">
        <v>161</v>
      </c>
      <c r="F252" s="7" t="s">
        <v>481</v>
      </c>
      <c r="G252" s="7" t="s">
        <v>350</v>
      </c>
      <c r="H252" s="7" t="s">
        <v>198</v>
      </c>
      <c r="I252" s="7" t="n">
        <v>80</v>
      </c>
      <c r="J252" s="8" t="n">
        <v>0.667</v>
      </c>
      <c r="K252" s="8" t="n">
        <v>1</v>
      </c>
      <c r="L252" s="8" t="n">
        <v>1</v>
      </c>
      <c r="M252" s="7" t="s">
        <v>38</v>
      </c>
      <c r="N252" s="7" t="s">
        <v>39</v>
      </c>
      <c r="O252" s="7" t="s">
        <v>115</v>
      </c>
      <c r="P252" s="9"/>
      <c r="Q252" s="9"/>
      <c r="R252" s="7" t="str">
        <f aca="false">IF(P252="",N252,P252)</f>
        <v>entrada não gerada</v>
      </c>
      <c r="S252" s="7" t="str">
        <f aca="false">IF(P252="","",IF(P252=N252,"sim","não"))</f>
        <v/>
      </c>
      <c r="T252" s="10" t="s">
        <v>482</v>
      </c>
    </row>
    <row r="253" customFormat="false" ht="23.85" hidden="false" customHeight="false" outlineLevel="0" collapsed="false">
      <c r="A253" s="7" t="n">
        <v>251</v>
      </c>
      <c r="B253" s="7" t="s">
        <v>343</v>
      </c>
      <c r="C253" s="7" t="s">
        <v>42</v>
      </c>
      <c r="D253" s="7" t="s">
        <v>398</v>
      </c>
      <c r="E253" s="7" t="n">
        <v>161</v>
      </c>
      <c r="F253" s="7" t="s">
        <v>481</v>
      </c>
      <c r="G253" s="7" t="s">
        <v>358</v>
      </c>
      <c r="H253" s="7" t="s">
        <v>198</v>
      </c>
      <c r="I253" s="7" t="n">
        <v>85</v>
      </c>
      <c r="J253" s="8" t="n">
        <v>0.833</v>
      </c>
      <c r="K253" s="8" t="n">
        <v>1</v>
      </c>
      <c r="L253" s="8" t="n">
        <v>1</v>
      </c>
      <c r="M253" s="7" t="s">
        <v>38</v>
      </c>
      <c r="N253" s="7" t="s">
        <v>39</v>
      </c>
      <c r="O253" s="7" t="s">
        <v>151</v>
      </c>
      <c r="P253" s="9"/>
      <c r="Q253" s="9"/>
      <c r="R253" s="7" t="str">
        <f aca="false">IF(P253="",N253,P253)</f>
        <v>entrada não gerada</v>
      </c>
      <c r="S253" s="7" t="str">
        <f aca="false">IF(P253="","",IF(P253=N253,"sim","não"))</f>
        <v/>
      </c>
      <c r="T253" s="10" t="s">
        <v>483</v>
      </c>
    </row>
    <row r="254" customFormat="false" ht="23.85" hidden="false" customHeight="false" outlineLevel="0" collapsed="false">
      <c r="A254" s="7" t="n">
        <v>252</v>
      </c>
      <c r="B254" s="7" t="s">
        <v>343</v>
      </c>
      <c r="C254" s="7" t="s">
        <v>42</v>
      </c>
      <c r="D254" s="7" t="s">
        <v>398</v>
      </c>
      <c r="E254" s="7" t="n">
        <v>162</v>
      </c>
      <c r="F254" s="7" t="s">
        <v>484</v>
      </c>
      <c r="G254" s="7" t="s">
        <v>392</v>
      </c>
      <c r="H254" s="7" t="s">
        <v>198</v>
      </c>
      <c r="I254" s="7" t="n">
        <v>82</v>
      </c>
      <c r="J254" s="8" t="n">
        <v>0.733</v>
      </c>
      <c r="K254" s="8" t="n">
        <v>1</v>
      </c>
      <c r="L254" s="8" t="n">
        <v>1</v>
      </c>
      <c r="M254" s="7" t="s">
        <v>38</v>
      </c>
      <c r="N254" s="7" t="s">
        <v>39</v>
      </c>
      <c r="O254" s="7" t="s">
        <v>256</v>
      </c>
      <c r="P254" s="9"/>
      <c r="Q254" s="9"/>
      <c r="R254" s="7" t="str">
        <f aca="false">IF(P254="",N254,P254)</f>
        <v>entrada não gerada</v>
      </c>
      <c r="S254" s="7" t="str">
        <f aca="false">IF(P254="","",IF(P254=N254,"sim","não"))</f>
        <v/>
      </c>
      <c r="T254" s="10" t="s">
        <v>485</v>
      </c>
    </row>
    <row r="255" customFormat="false" ht="23.85" hidden="false" customHeight="false" outlineLevel="0" collapsed="false">
      <c r="A255" s="7" t="n">
        <v>253</v>
      </c>
      <c r="B255" s="7" t="s">
        <v>343</v>
      </c>
      <c r="C255" s="7" t="s">
        <v>42</v>
      </c>
      <c r="D255" s="7" t="s">
        <v>398</v>
      </c>
      <c r="E255" s="7" t="n">
        <v>164</v>
      </c>
      <c r="F255" s="7" t="s">
        <v>464</v>
      </c>
      <c r="G255" s="7" t="s">
        <v>461</v>
      </c>
      <c r="H255" s="7" t="s">
        <v>200</v>
      </c>
      <c r="I255" s="7" t="n">
        <v>78</v>
      </c>
      <c r="J255" s="8" t="n">
        <v>0.6</v>
      </c>
      <c r="K255" s="8" t="n">
        <v>1</v>
      </c>
      <c r="L255" s="8" t="n">
        <v>1</v>
      </c>
      <c r="M255" s="7" t="s">
        <v>38</v>
      </c>
      <c r="N255" s="7" t="s">
        <v>39</v>
      </c>
      <c r="O255" s="7" t="s">
        <v>107</v>
      </c>
      <c r="P255" s="9"/>
      <c r="Q255" s="9"/>
      <c r="R255" s="7" t="str">
        <f aca="false">IF(P255="",N255,P255)</f>
        <v>entrada não gerada</v>
      </c>
      <c r="S255" s="7" t="str">
        <f aca="false">IF(P255="","",IF(P255=N255,"sim","não"))</f>
        <v/>
      </c>
      <c r="T255" s="10" t="s">
        <v>486</v>
      </c>
    </row>
    <row r="256" customFormat="false" ht="35.05" hidden="false" customHeight="false" outlineLevel="0" collapsed="false">
      <c r="A256" s="7" t="n">
        <v>254</v>
      </c>
      <c r="B256" s="7" t="s">
        <v>343</v>
      </c>
      <c r="C256" s="7" t="s">
        <v>42</v>
      </c>
      <c r="D256" s="7" t="s">
        <v>398</v>
      </c>
      <c r="E256" s="7" t="n">
        <v>167</v>
      </c>
      <c r="F256" s="7" t="s">
        <v>487</v>
      </c>
      <c r="G256" s="7" t="s">
        <v>488</v>
      </c>
      <c r="H256" s="7" t="s">
        <v>200</v>
      </c>
      <c r="I256" s="7" t="n">
        <v>71</v>
      </c>
      <c r="J256" s="8" t="n">
        <v>0.433</v>
      </c>
      <c r="K256" s="8" t="n">
        <v>0.933</v>
      </c>
      <c r="L256" s="8" t="n">
        <v>1</v>
      </c>
      <c r="M256" s="7" t="s">
        <v>38</v>
      </c>
      <c r="N256" s="7" t="s">
        <v>39</v>
      </c>
      <c r="O256" s="7" t="s">
        <v>50</v>
      </c>
      <c r="P256" s="9"/>
      <c r="Q256" s="9"/>
      <c r="R256" s="7" t="str">
        <f aca="false">IF(P256="",N256,P256)</f>
        <v>entrada não gerada</v>
      </c>
      <c r="S256" s="7" t="str">
        <f aca="false">IF(P256="","",IF(P256=N256,"sim","não"))</f>
        <v/>
      </c>
      <c r="T256" s="10" t="s">
        <v>489</v>
      </c>
    </row>
    <row r="257" customFormat="false" ht="35.05" hidden="false" customHeight="false" outlineLevel="0" collapsed="false">
      <c r="A257" s="7" t="n">
        <v>255</v>
      </c>
      <c r="B257" s="7" t="s">
        <v>343</v>
      </c>
      <c r="C257" s="7" t="s">
        <v>42</v>
      </c>
      <c r="D257" s="7" t="s">
        <v>398</v>
      </c>
      <c r="E257" s="7" t="n">
        <v>168</v>
      </c>
      <c r="F257" s="7" t="s">
        <v>490</v>
      </c>
      <c r="G257" s="7" t="s">
        <v>392</v>
      </c>
      <c r="H257" s="7" t="s">
        <v>200</v>
      </c>
      <c r="I257" s="7" t="n">
        <v>81</v>
      </c>
      <c r="J257" s="8" t="n">
        <v>0.7</v>
      </c>
      <c r="K257" s="8" t="n">
        <v>1</v>
      </c>
      <c r="L257" s="8" t="n">
        <v>1</v>
      </c>
      <c r="M257" s="7" t="s">
        <v>38</v>
      </c>
      <c r="N257" s="7" t="s">
        <v>39</v>
      </c>
      <c r="O257" s="7" t="s">
        <v>388</v>
      </c>
      <c r="P257" s="9"/>
      <c r="Q257" s="9"/>
      <c r="R257" s="7" t="str">
        <f aca="false">IF(P257="",N257,P257)</f>
        <v>entrada não gerada</v>
      </c>
      <c r="S257" s="7" t="str">
        <f aca="false">IF(P257="","",IF(P257=N257,"sim","não"))</f>
        <v/>
      </c>
      <c r="T257" s="10" t="s">
        <v>491</v>
      </c>
    </row>
    <row r="258" customFormat="false" ht="35.05" hidden="false" customHeight="false" outlineLevel="0" collapsed="false">
      <c r="A258" s="7" t="n">
        <v>256</v>
      </c>
      <c r="B258" s="7" t="s">
        <v>343</v>
      </c>
      <c r="C258" s="7" t="s">
        <v>42</v>
      </c>
      <c r="D258" s="7" t="s">
        <v>390</v>
      </c>
      <c r="E258" s="7" t="n">
        <v>5</v>
      </c>
      <c r="F258" s="7" t="s">
        <v>492</v>
      </c>
      <c r="G258" s="7" t="s">
        <v>392</v>
      </c>
      <c r="H258" s="7" t="s">
        <v>233</v>
      </c>
      <c r="I258" s="7" t="n">
        <v>0</v>
      </c>
      <c r="J258" s="8" t="n">
        <v>0</v>
      </c>
      <c r="K258" s="8" t="n">
        <v>0</v>
      </c>
      <c r="L258" s="8" t="n">
        <v>0</v>
      </c>
      <c r="M258" s="7" t="s">
        <v>211</v>
      </c>
      <c r="N258" s="7" t="s">
        <v>212</v>
      </c>
      <c r="O258" s="7" t="s">
        <v>493</v>
      </c>
      <c r="P258" s="9"/>
      <c r="Q258" s="9"/>
      <c r="R258" s="7" t="str">
        <f aca="false">IF(P258="",N258,P258)</f>
        <v>equivalente</v>
      </c>
      <c r="S258" s="7" t="str">
        <f aca="false">IF(P258="","",IF(P258=N258,"sim","não"))</f>
        <v/>
      </c>
      <c r="T258" s="10" t="s">
        <v>494</v>
      </c>
    </row>
    <row r="259" customFormat="false" ht="35.05" hidden="false" customHeight="false" outlineLevel="0" collapsed="false">
      <c r="A259" s="7" t="n">
        <v>257</v>
      </c>
      <c r="B259" s="7" t="s">
        <v>343</v>
      </c>
      <c r="C259" s="7" t="s">
        <v>42</v>
      </c>
      <c r="D259" s="7" t="s">
        <v>390</v>
      </c>
      <c r="E259" s="7" t="n">
        <v>5</v>
      </c>
      <c r="F259" s="7" t="s">
        <v>492</v>
      </c>
      <c r="G259" s="7" t="s">
        <v>392</v>
      </c>
      <c r="H259" s="7" t="s">
        <v>233</v>
      </c>
      <c r="I259" s="7" t="n">
        <v>0</v>
      </c>
      <c r="J259" s="8" t="n">
        <v>0</v>
      </c>
      <c r="K259" s="8" t="n">
        <v>0</v>
      </c>
      <c r="L259" s="8" t="n">
        <v>0</v>
      </c>
      <c r="M259" s="7" t="s">
        <v>211</v>
      </c>
      <c r="N259" s="7" t="s">
        <v>212</v>
      </c>
      <c r="O259" s="7" t="s">
        <v>493</v>
      </c>
      <c r="P259" s="9"/>
      <c r="Q259" s="9"/>
      <c r="R259" s="7" t="str">
        <f aca="false">IF(P259="",N259,P259)</f>
        <v>equivalente</v>
      </c>
      <c r="S259" s="7" t="str">
        <f aca="false">IF(P259="","",IF(P259=N259,"sim","não"))</f>
        <v/>
      </c>
      <c r="T259" s="10" t="s">
        <v>495</v>
      </c>
    </row>
    <row r="260" customFormat="false" ht="35.05" hidden="false" customHeight="false" outlineLevel="0" collapsed="false">
      <c r="A260" s="7" t="n">
        <v>258</v>
      </c>
      <c r="B260" s="7" t="s">
        <v>343</v>
      </c>
      <c r="C260" s="7" t="s">
        <v>42</v>
      </c>
      <c r="D260" s="7" t="s">
        <v>390</v>
      </c>
      <c r="E260" s="7" t="n">
        <v>15</v>
      </c>
      <c r="F260" s="7" t="s">
        <v>394</v>
      </c>
      <c r="G260" s="7" t="s">
        <v>392</v>
      </c>
      <c r="H260" s="7" t="s">
        <v>95</v>
      </c>
      <c r="I260" s="7" t="n">
        <v>0</v>
      </c>
      <c r="J260" s="8" t="n">
        <v>0</v>
      </c>
      <c r="K260" s="8" t="n">
        <v>0</v>
      </c>
      <c r="L260" s="8" t="n">
        <v>0</v>
      </c>
      <c r="M260" s="7" t="s">
        <v>211</v>
      </c>
      <c r="N260" s="7" t="s">
        <v>212</v>
      </c>
      <c r="O260" s="7" t="s">
        <v>496</v>
      </c>
      <c r="P260" s="9"/>
      <c r="Q260" s="9"/>
      <c r="R260" s="7" t="str">
        <f aca="false">IF(P260="",N260,P260)</f>
        <v>equivalente</v>
      </c>
      <c r="S260" s="7" t="str">
        <f aca="false">IF(P260="","",IF(P260=N260,"sim","não"))</f>
        <v/>
      </c>
      <c r="T260" s="10" t="s">
        <v>497</v>
      </c>
    </row>
    <row r="261" customFormat="false" ht="35.05" hidden="false" customHeight="false" outlineLevel="0" collapsed="false">
      <c r="A261" s="7" t="n">
        <v>259</v>
      </c>
      <c r="B261" s="7" t="s">
        <v>343</v>
      </c>
      <c r="C261" s="7" t="s">
        <v>42</v>
      </c>
      <c r="D261" s="7" t="s">
        <v>398</v>
      </c>
      <c r="E261" s="7" t="n">
        <v>29</v>
      </c>
      <c r="F261" s="7" t="s">
        <v>498</v>
      </c>
      <c r="G261" s="7" t="s">
        <v>499</v>
      </c>
      <c r="H261" s="7" t="s">
        <v>210</v>
      </c>
      <c r="I261" s="7" t="n">
        <v>0</v>
      </c>
      <c r="J261" s="8" t="n">
        <v>0</v>
      </c>
      <c r="K261" s="8" t="n">
        <v>0</v>
      </c>
      <c r="L261" s="8" t="n">
        <v>0</v>
      </c>
      <c r="M261" s="7" t="s">
        <v>211</v>
      </c>
      <c r="N261" s="7" t="s">
        <v>212</v>
      </c>
      <c r="O261" s="7" t="s">
        <v>213</v>
      </c>
      <c r="P261" s="9"/>
      <c r="Q261" s="9"/>
      <c r="R261" s="7" t="str">
        <f aca="false">IF(P261="",N261,P261)</f>
        <v>equivalente</v>
      </c>
      <c r="S261" s="7" t="str">
        <f aca="false">IF(P261="","",IF(P261=N261,"sim","não"))</f>
        <v/>
      </c>
      <c r="T261" s="10" t="s">
        <v>500</v>
      </c>
    </row>
    <row r="262" customFormat="false" ht="35.05" hidden="false" customHeight="false" outlineLevel="0" collapsed="false">
      <c r="A262" s="7" t="n">
        <v>260</v>
      </c>
      <c r="B262" s="7" t="s">
        <v>343</v>
      </c>
      <c r="C262" s="7" t="s">
        <v>42</v>
      </c>
      <c r="D262" s="7" t="s">
        <v>398</v>
      </c>
      <c r="E262" s="7" t="n">
        <v>40</v>
      </c>
      <c r="F262" s="7" t="s">
        <v>501</v>
      </c>
      <c r="G262" s="7" t="s">
        <v>392</v>
      </c>
      <c r="H262" s="7" t="s">
        <v>120</v>
      </c>
      <c r="I262" s="7" t="n">
        <v>0</v>
      </c>
      <c r="J262" s="8" t="n">
        <v>0</v>
      </c>
      <c r="K262" s="8" t="n">
        <v>0</v>
      </c>
      <c r="L262" s="8" t="n">
        <v>0</v>
      </c>
      <c r="M262" s="7" t="s">
        <v>211</v>
      </c>
      <c r="N262" s="7" t="s">
        <v>212</v>
      </c>
      <c r="O262" s="7" t="s">
        <v>502</v>
      </c>
      <c r="P262" s="9"/>
      <c r="Q262" s="9"/>
      <c r="R262" s="7" t="str">
        <f aca="false">IF(P262="",N262,P262)</f>
        <v>equivalente</v>
      </c>
      <c r="S262" s="7" t="str">
        <f aca="false">IF(P262="","",IF(P262=N262,"sim","não"))</f>
        <v/>
      </c>
      <c r="T262" s="10" t="s">
        <v>503</v>
      </c>
    </row>
    <row r="263" customFormat="false" ht="35.05" hidden="false" customHeight="false" outlineLevel="0" collapsed="false">
      <c r="A263" s="7" t="n">
        <v>261</v>
      </c>
      <c r="B263" s="7" t="s">
        <v>343</v>
      </c>
      <c r="C263" s="7" t="s">
        <v>42</v>
      </c>
      <c r="D263" s="7" t="s">
        <v>398</v>
      </c>
      <c r="E263" s="7" t="n">
        <v>76</v>
      </c>
      <c r="F263" s="7" t="s">
        <v>504</v>
      </c>
      <c r="G263" s="7" t="s">
        <v>392</v>
      </c>
      <c r="H263" s="7" t="s">
        <v>228</v>
      </c>
      <c r="I263" s="7" t="n">
        <v>0</v>
      </c>
      <c r="J263" s="8" t="n">
        <v>0</v>
      </c>
      <c r="K263" s="8" t="n">
        <v>0</v>
      </c>
      <c r="L263" s="8" t="n">
        <v>0</v>
      </c>
      <c r="M263" s="7" t="s">
        <v>211</v>
      </c>
      <c r="N263" s="7" t="s">
        <v>212</v>
      </c>
      <c r="O263" s="7" t="s">
        <v>505</v>
      </c>
      <c r="P263" s="9"/>
      <c r="Q263" s="9"/>
      <c r="R263" s="7" t="str">
        <f aca="false">IF(P263="",N263,P263)</f>
        <v>equivalente</v>
      </c>
      <c r="S263" s="7" t="str">
        <f aca="false">IF(P263="","",IF(P263=N263,"sim","não"))</f>
        <v/>
      </c>
      <c r="T263" s="10" t="s">
        <v>506</v>
      </c>
    </row>
    <row r="264" customFormat="false" ht="35.05" hidden="false" customHeight="false" outlineLevel="0" collapsed="false">
      <c r="A264" s="7" t="n">
        <v>262</v>
      </c>
      <c r="B264" s="7" t="s">
        <v>343</v>
      </c>
      <c r="C264" s="7" t="s">
        <v>42</v>
      </c>
      <c r="D264" s="7" t="s">
        <v>398</v>
      </c>
      <c r="E264" s="7" t="n">
        <v>109</v>
      </c>
      <c r="F264" s="7" t="s">
        <v>507</v>
      </c>
      <c r="G264" s="7" t="s">
        <v>392</v>
      </c>
      <c r="H264" s="7" t="s">
        <v>182</v>
      </c>
      <c r="I264" s="7" t="n">
        <v>0</v>
      </c>
      <c r="J264" s="8" t="n">
        <v>0</v>
      </c>
      <c r="K264" s="8" t="n">
        <v>0</v>
      </c>
      <c r="L264" s="8" t="n">
        <v>0</v>
      </c>
      <c r="M264" s="7" t="s">
        <v>211</v>
      </c>
      <c r="N264" s="7" t="s">
        <v>212</v>
      </c>
      <c r="O264" s="7" t="s">
        <v>508</v>
      </c>
      <c r="P264" s="9"/>
      <c r="Q264" s="9"/>
      <c r="R264" s="7" t="str">
        <f aca="false">IF(P264="",N264,P264)</f>
        <v>equivalente</v>
      </c>
      <c r="S264" s="7" t="str">
        <f aca="false">IF(P264="","",IF(P264=N264,"sim","não"))</f>
        <v/>
      </c>
      <c r="T264" s="10" t="s">
        <v>509</v>
      </c>
    </row>
    <row r="265" customFormat="false" ht="35.05" hidden="false" customHeight="false" outlineLevel="0" collapsed="false">
      <c r="A265" s="7" t="n">
        <v>263</v>
      </c>
      <c r="B265" s="7" t="s">
        <v>343</v>
      </c>
      <c r="C265" s="7" t="s">
        <v>42</v>
      </c>
      <c r="D265" s="7" t="s">
        <v>398</v>
      </c>
      <c r="E265" s="7" t="n">
        <v>153</v>
      </c>
      <c r="F265" s="7" t="s">
        <v>477</v>
      </c>
      <c r="G265" s="7" t="s">
        <v>358</v>
      </c>
      <c r="H265" s="7" t="s">
        <v>37</v>
      </c>
      <c r="I265" s="7" t="n">
        <v>0</v>
      </c>
      <c r="J265" s="8" t="n">
        <v>0</v>
      </c>
      <c r="K265" s="8" t="n">
        <v>0</v>
      </c>
      <c r="L265" s="8" t="n">
        <v>0</v>
      </c>
      <c r="M265" s="7" t="s">
        <v>211</v>
      </c>
      <c r="N265" s="7" t="s">
        <v>212</v>
      </c>
      <c r="O265" s="7" t="s">
        <v>510</v>
      </c>
      <c r="P265" s="9"/>
      <c r="Q265" s="9"/>
      <c r="R265" s="7" t="str">
        <f aca="false">IF(P265="",N265,P265)</f>
        <v>equivalente</v>
      </c>
      <c r="S265" s="7" t="str">
        <f aca="false">IF(P265="","",IF(P265=N265,"sim","não"))</f>
        <v/>
      </c>
      <c r="T265" s="10" t="s">
        <v>511</v>
      </c>
    </row>
    <row r="266" customFormat="false" ht="28.35" hidden="false" customHeight="false" outlineLevel="0" collapsed="false">
      <c r="A266" s="7" t="n">
        <v>264</v>
      </c>
      <c r="B266" s="7" t="s">
        <v>343</v>
      </c>
      <c r="C266" s="7" t="s">
        <v>33</v>
      </c>
      <c r="D266" s="7" t="s">
        <v>344</v>
      </c>
      <c r="E266" s="7" t="n">
        <v>11</v>
      </c>
      <c r="F266" s="7" t="s">
        <v>512</v>
      </c>
      <c r="G266" s="7" t="s">
        <v>513</v>
      </c>
      <c r="H266" s="7" t="s">
        <v>292</v>
      </c>
      <c r="I266" s="7" t="n">
        <v>72</v>
      </c>
      <c r="J266" s="8" t="n">
        <v>0.4</v>
      </c>
      <c r="K266" s="8" t="n">
        <v>1</v>
      </c>
      <c r="L266" s="8" t="n">
        <v>1</v>
      </c>
      <c r="M266" s="7" t="s">
        <v>38</v>
      </c>
      <c r="N266" s="7" t="s">
        <v>39</v>
      </c>
      <c r="O266" s="7" t="s">
        <v>111</v>
      </c>
      <c r="P266" s="9"/>
      <c r="Q266" s="9"/>
      <c r="R266" s="7" t="str">
        <f aca="false">IF(P266="",N266,P266)</f>
        <v>entrada não gerada</v>
      </c>
      <c r="S266" s="7" t="str">
        <f aca="false">IF(P266="","",IF(P266=N266,"sim","não"))</f>
        <v/>
      </c>
      <c r="T266" s="10" t="s">
        <v>514</v>
      </c>
    </row>
    <row r="267" customFormat="false" ht="23.85" hidden="false" customHeight="false" outlineLevel="0" collapsed="false">
      <c r="A267" s="7" t="n">
        <v>265</v>
      </c>
      <c r="B267" s="7" t="s">
        <v>343</v>
      </c>
      <c r="C267" s="7" t="s">
        <v>33</v>
      </c>
      <c r="D267" s="7" t="s">
        <v>344</v>
      </c>
      <c r="E267" s="7" t="n">
        <v>21</v>
      </c>
      <c r="F267" s="7" t="s">
        <v>349</v>
      </c>
      <c r="G267" s="7" t="s">
        <v>358</v>
      </c>
      <c r="H267" s="7" t="s">
        <v>37</v>
      </c>
      <c r="I267" s="7" t="n">
        <v>89</v>
      </c>
      <c r="J267" s="8" t="n">
        <v>0.967</v>
      </c>
      <c r="K267" s="8" t="n">
        <v>1</v>
      </c>
      <c r="L267" s="8" t="n">
        <v>1</v>
      </c>
      <c r="M267" s="7" t="s">
        <v>38</v>
      </c>
      <c r="N267" s="7" t="s">
        <v>39</v>
      </c>
      <c r="O267" s="7" t="s">
        <v>56</v>
      </c>
      <c r="P267" s="9"/>
      <c r="Q267" s="9"/>
      <c r="R267" s="7" t="str">
        <f aca="false">IF(P267="",N267,P267)</f>
        <v>entrada não gerada</v>
      </c>
      <c r="S267" s="7" t="str">
        <f aca="false">IF(P267="","",IF(P267=N267,"sim","não"))</f>
        <v/>
      </c>
      <c r="T267" s="10" t="s">
        <v>515</v>
      </c>
    </row>
    <row r="268" customFormat="false" ht="23.85" hidden="false" customHeight="false" outlineLevel="0" collapsed="false">
      <c r="A268" s="7" t="n">
        <v>266</v>
      </c>
      <c r="B268" s="7" t="s">
        <v>343</v>
      </c>
      <c r="C268" s="7" t="s">
        <v>33</v>
      </c>
      <c r="D268" s="7" t="s">
        <v>344</v>
      </c>
      <c r="E268" s="7" t="n">
        <v>24</v>
      </c>
      <c r="F268" s="7" t="s">
        <v>356</v>
      </c>
      <c r="G268" s="7" t="s">
        <v>350</v>
      </c>
      <c r="H268" s="7" t="s">
        <v>37</v>
      </c>
      <c r="I268" s="7" t="n">
        <v>77</v>
      </c>
      <c r="J268" s="8" t="n">
        <v>0.567</v>
      </c>
      <c r="K268" s="8" t="n">
        <v>1</v>
      </c>
      <c r="L268" s="8" t="n">
        <v>1</v>
      </c>
      <c r="M268" s="7" t="s">
        <v>38</v>
      </c>
      <c r="N268" s="7" t="s">
        <v>39</v>
      </c>
      <c r="O268" s="7" t="s">
        <v>194</v>
      </c>
      <c r="P268" s="9"/>
      <c r="Q268" s="9"/>
      <c r="R268" s="7" t="str">
        <f aca="false">IF(P268="",N268,P268)</f>
        <v>entrada não gerada</v>
      </c>
      <c r="S268" s="7" t="str">
        <f aca="false">IF(P268="","",IF(P268=N268,"sim","não"))</f>
        <v/>
      </c>
      <c r="T268" s="10" t="s">
        <v>357</v>
      </c>
    </row>
    <row r="269" customFormat="false" ht="23.85" hidden="false" customHeight="false" outlineLevel="0" collapsed="false">
      <c r="A269" s="7" t="n">
        <v>267</v>
      </c>
      <c r="B269" s="7" t="s">
        <v>343</v>
      </c>
      <c r="C269" s="7" t="s">
        <v>33</v>
      </c>
      <c r="D269" s="7" t="s">
        <v>344</v>
      </c>
      <c r="E269" s="7" t="n">
        <v>24</v>
      </c>
      <c r="F269" s="7" t="s">
        <v>356</v>
      </c>
      <c r="G269" s="7" t="s">
        <v>358</v>
      </c>
      <c r="H269" s="7" t="s">
        <v>37</v>
      </c>
      <c r="I269" s="7" t="n">
        <v>78</v>
      </c>
      <c r="J269" s="8" t="n">
        <v>0.6</v>
      </c>
      <c r="K269" s="8" t="n">
        <v>1</v>
      </c>
      <c r="L269" s="8" t="n">
        <v>1</v>
      </c>
      <c r="M269" s="7" t="s">
        <v>38</v>
      </c>
      <c r="N269" s="7" t="s">
        <v>39</v>
      </c>
      <c r="O269" s="7" t="s">
        <v>107</v>
      </c>
      <c r="P269" s="9"/>
      <c r="Q269" s="9"/>
      <c r="R269" s="7" t="str">
        <f aca="false">IF(P269="",N269,P269)</f>
        <v>entrada não gerada</v>
      </c>
      <c r="S269" s="7" t="str">
        <f aca="false">IF(P269="","",IF(P269=N269,"sim","não"))</f>
        <v/>
      </c>
      <c r="T269" s="10" t="s">
        <v>359</v>
      </c>
    </row>
    <row r="270" customFormat="false" ht="46.25" hidden="false" customHeight="false" outlineLevel="0" collapsed="false">
      <c r="A270" s="7" t="n">
        <v>268</v>
      </c>
      <c r="B270" s="7" t="s">
        <v>343</v>
      </c>
      <c r="C270" s="7" t="s">
        <v>33</v>
      </c>
      <c r="D270" s="7" t="s">
        <v>344</v>
      </c>
      <c r="E270" s="7" t="n">
        <v>24</v>
      </c>
      <c r="F270" s="7" t="s">
        <v>356</v>
      </c>
      <c r="G270" s="7" t="s">
        <v>361</v>
      </c>
      <c r="H270" s="7" t="s">
        <v>37</v>
      </c>
      <c r="I270" s="7" t="n">
        <v>0</v>
      </c>
      <c r="J270" s="8" t="n">
        <v>0</v>
      </c>
      <c r="K270" s="8" t="n">
        <v>0</v>
      </c>
      <c r="L270" s="8" t="n">
        <v>0</v>
      </c>
      <c r="M270" s="7" t="s">
        <v>211</v>
      </c>
      <c r="N270" s="7" t="s">
        <v>39</v>
      </c>
      <c r="O270" s="7" t="s">
        <v>362</v>
      </c>
      <c r="P270" s="9"/>
      <c r="Q270" s="9"/>
      <c r="R270" s="7" t="str">
        <f aca="false">IF(P270="",N270,P270)</f>
        <v>entrada não gerada</v>
      </c>
      <c r="S270" s="7" t="str">
        <f aca="false">IF(P270="","",IF(P270=N270,"sim","não"))</f>
        <v/>
      </c>
      <c r="T270" s="10" t="s">
        <v>363</v>
      </c>
    </row>
    <row r="271" customFormat="false" ht="28.35" hidden="false" customHeight="false" outlineLevel="0" collapsed="false">
      <c r="A271" s="7" t="n">
        <v>269</v>
      </c>
      <c r="B271" s="7" t="s">
        <v>343</v>
      </c>
      <c r="C271" s="7" t="s">
        <v>33</v>
      </c>
      <c r="D271" s="7" t="s">
        <v>344</v>
      </c>
      <c r="E271" s="7" t="n">
        <v>24</v>
      </c>
      <c r="F271" s="7" t="s">
        <v>356</v>
      </c>
      <c r="G271" s="7" t="s">
        <v>364</v>
      </c>
      <c r="H271" s="7" t="s">
        <v>37</v>
      </c>
      <c r="I271" s="7" t="n">
        <v>76</v>
      </c>
      <c r="J271" s="8" t="n">
        <v>0.533</v>
      </c>
      <c r="K271" s="8" t="n">
        <v>1</v>
      </c>
      <c r="L271" s="8" t="n">
        <v>1</v>
      </c>
      <c r="M271" s="7" t="s">
        <v>38</v>
      </c>
      <c r="N271" s="7" t="s">
        <v>39</v>
      </c>
      <c r="O271" s="7" t="s">
        <v>64</v>
      </c>
      <c r="P271" s="9"/>
      <c r="Q271" s="9"/>
      <c r="R271" s="7" t="str">
        <f aca="false">IF(P271="",N271,P271)</f>
        <v>entrada não gerada</v>
      </c>
      <c r="S271" s="7" t="str">
        <f aca="false">IF(P271="","",IF(P271=N271,"sim","não"))</f>
        <v/>
      </c>
      <c r="T271" s="10" t="s">
        <v>365</v>
      </c>
    </row>
    <row r="272" customFormat="false" ht="23.85" hidden="false" customHeight="false" outlineLevel="0" collapsed="false">
      <c r="A272" s="7" t="n">
        <v>270</v>
      </c>
      <c r="B272" s="7" t="s">
        <v>343</v>
      </c>
      <c r="C272" s="7" t="s">
        <v>33</v>
      </c>
      <c r="D272" s="7" t="s">
        <v>344</v>
      </c>
      <c r="E272" s="7" t="n">
        <v>28</v>
      </c>
      <c r="F272" s="7" t="s">
        <v>366</v>
      </c>
      <c r="G272" s="7" t="s">
        <v>350</v>
      </c>
      <c r="H272" s="7" t="s">
        <v>70</v>
      </c>
      <c r="I272" s="7" t="n">
        <v>84</v>
      </c>
      <c r="J272" s="8" t="n">
        <v>0.8</v>
      </c>
      <c r="K272" s="8" t="n">
        <v>1</v>
      </c>
      <c r="L272" s="8" t="n">
        <v>1</v>
      </c>
      <c r="M272" s="7" t="s">
        <v>38</v>
      </c>
      <c r="N272" s="7" t="s">
        <v>39</v>
      </c>
      <c r="O272" s="7" t="s">
        <v>172</v>
      </c>
      <c r="P272" s="9"/>
      <c r="Q272" s="9"/>
      <c r="R272" s="7" t="str">
        <f aca="false">IF(P272="",N272,P272)</f>
        <v>entrada não gerada</v>
      </c>
      <c r="S272" s="7" t="str">
        <f aca="false">IF(P272="","",IF(P272=N272,"sim","não"))</f>
        <v/>
      </c>
      <c r="T272" s="10" t="s">
        <v>367</v>
      </c>
    </row>
    <row r="273" customFormat="false" ht="23.85" hidden="false" customHeight="false" outlineLevel="0" collapsed="false">
      <c r="A273" s="7" t="n">
        <v>271</v>
      </c>
      <c r="B273" s="7" t="s">
        <v>343</v>
      </c>
      <c r="C273" s="7" t="s">
        <v>33</v>
      </c>
      <c r="D273" s="7" t="s">
        <v>344</v>
      </c>
      <c r="E273" s="7" t="n">
        <v>30</v>
      </c>
      <c r="F273" s="7" t="s">
        <v>516</v>
      </c>
      <c r="G273" s="7" t="s">
        <v>350</v>
      </c>
      <c r="H273" s="7" t="s">
        <v>70</v>
      </c>
      <c r="I273" s="7" t="n">
        <v>88</v>
      </c>
      <c r="J273" s="8" t="n">
        <v>0.933</v>
      </c>
      <c r="K273" s="8" t="n">
        <v>1</v>
      </c>
      <c r="L273" s="8" t="n">
        <v>1</v>
      </c>
      <c r="M273" s="7" t="s">
        <v>38</v>
      </c>
      <c r="N273" s="7" t="s">
        <v>39</v>
      </c>
      <c r="O273" s="7" t="s">
        <v>46</v>
      </c>
      <c r="P273" s="9"/>
      <c r="Q273" s="9"/>
      <c r="R273" s="7" t="str">
        <f aca="false">IF(P273="",N273,P273)</f>
        <v>entrada não gerada</v>
      </c>
      <c r="S273" s="7" t="str">
        <f aca="false">IF(P273="","",IF(P273=N273,"sim","não"))</f>
        <v/>
      </c>
      <c r="T273" s="10" t="s">
        <v>517</v>
      </c>
    </row>
    <row r="274" customFormat="false" ht="28.35" hidden="false" customHeight="false" outlineLevel="0" collapsed="false">
      <c r="A274" s="7" t="n">
        <v>272</v>
      </c>
      <c r="B274" s="7" t="s">
        <v>343</v>
      </c>
      <c r="C274" s="7" t="s">
        <v>33</v>
      </c>
      <c r="D274" s="7" t="s">
        <v>344</v>
      </c>
      <c r="E274" s="7" t="n">
        <v>36</v>
      </c>
      <c r="F274" s="7" t="s">
        <v>386</v>
      </c>
      <c r="G274" s="7" t="s">
        <v>387</v>
      </c>
      <c r="H274" s="7" t="s">
        <v>45</v>
      </c>
      <c r="I274" s="7" t="n">
        <v>36</v>
      </c>
      <c r="J274" s="8" t="n">
        <v>0.033</v>
      </c>
      <c r="K274" s="8" t="n">
        <v>0.267</v>
      </c>
      <c r="L274" s="8" t="n">
        <v>0.9</v>
      </c>
      <c r="M274" s="7" t="s">
        <v>38</v>
      </c>
      <c r="N274" s="7" t="s">
        <v>39</v>
      </c>
      <c r="O274" s="7" t="s">
        <v>452</v>
      </c>
      <c r="P274" s="9"/>
      <c r="Q274" s="9"/>
      <c r="R274" s="7" t="str">
        <f aca="false">IF(P274="",N274,P274)</f>
        <v>entrada não gerada</v>
      </c>
      <c r="S274" s="7" t="str">
        <f aca="false">IF(P274="","",IF(P274=N274,"sim","não"))</f>
        <v/>
      </c>
      <c r="T274" s="10" t="s">
        <v>389</v>
      </c>
    </row>
    <row r="275" customFormat="false" ht="28.35" hidden="false" customHeight="false" outlineLevel="0" collapsed="false">
      <c r="A275" s="7" t="n">
        <v>273</v>
      </c>
      <c r="B275" s="7" t="s">
        <v>343</v>
      </c>
      <c r="C275" s="7" t="s">
        <v>33</v>
      </c>
      <c r="D275" s="7" t="s">
        <v>398</v>
      </c>
      <c r="E275" s="7" t="n">
        <v>64</v>
      </c>
      <c r="F275" s="7" t="s">
        <v>128</v>
      </c>
      <c r="G275" s="7" t="s">
        <v>411</v>
      </c>
      <c r="H275" s="7" t="s">
        <v>129</v>
      </c>
      <c r="I275" s="7" t="n">
        <v>79</v>
      </c>
      <c r="J275" s="8" t="n">
        <v>0.633</v>
      </c>
      <c r="K275" s="8" t="n">
        <v>1</v>
      </c>
      <c r="L275" s="8" t="n">
        <v>1</v>
      </c>
      <c r="M275" s="7" t="s">
        <v>38</v>
      </c>
      <c r="N275" s="7" t="s">
        <v>39</v>
      </c>
      <c r="O275" s="7" t="s">
        <v>148</v>
      </c>
      <c r="P275" s="9"/>
      <c r="Q275" s="9"/>
      <c r="R275" s="7" t="str">
        <f aca="false">IF(P275="",N275,P275)</f>
        <v>entrada não gerada</v>
      </c>
      <c r="S275" s="7" t="str">
        <f aca="false">IF(P275="","",IF(P275=N275,"sim","não"))</f>
        <v/>
      </c>
      <c r="T275" s="10" t="s">
        <v>412</v>
      </c>
    </row>
    <row r="276" customFormat="false" ht="35.05" hidden="false" customHeight="false" outlineLevel="0" collapsed="false">
      <c r="A276" s="7" t="n">
        <v>274</v>
      </c>
      <c r="B276" s="7" t="s">
        <v>343</v>
      </c>
      <c r="C276" s="7" t="s">
        <v>33</v>
      </c>
      <c r="D276" s="7" t="s">
        <v>398</v>
      </c>
      <c r="E276" s="7" t="n">
        <v>93</v>
      </c>
      <c r="F276" s="7" t="s">
        <v>432</v>
      </c>
      <c r="G276" s="7" t="s">
        <v>440</v>
      </c>
      <c r="H276" s="7" t="s">
        <v>95</v>
      </c>
      <c r="I276" s="7" t="n">
        <v>73</v>
      </c>
      <c r="J276" s="8" t="n">
        <v>0.467</v>
      </c>
      <c r="K276" s="8" t="n">
        <v>0.967</v>
      </c>
      <c r="L276" s="8" t="n">
        <v>1</v>
      </c>
      <c r="M276" s="7" t="s">
        <v>38</v>
      </c>
      <c r="N276" s="7" t="s">
        <v>39</v>
      </c>
      <c r="O276" s="7" t="s">
        <v>66</v>
      </c>
      <c r="P276" s="9"/>
      <c r="Q276" s="9"/>
      <c r="R276" s="7" t="str">
        <f aca="false">IF(P276="",N276,P276)</f>
        <v>entrada não gerada</v>
      </c>
      <c r="S276" s="7" t="str">
        <f aca="false">IF(P276="","",IF(P276=N276,"sim","não"))</f>
        <v/>
      </c>
      <c r="T276" s="10" t="s">
        <v>441</v>
      </c>
    </row>
    <row r="277" customFormat="false" ht="35.05" hidden="false" customHeight="false" outlineLevel="0" collapsed="false">
      <c r="A277" s="7" t="n">
        <v>275</v>
      </c>
      <c r="B277" s="7" t="s">
        <v>343</v>
      </c>
      <c r="C277" s="7" t="s">
        <v>33</v>
      </c>
      <c r="D277" s="7" t="s">
        <v>398</v>
      </c>
      <c r="E277" s="7" t="n">
        <v>93</v>
      </c>
      <c r="F277" s="7" t="s">
        <v>432</v>
      </c>
      <c r="G277" s="7" t="s">
        <v>442</v>
      </c>
      <c r="H277" s="7" t="s">
        <v>95</v>
      </c>
      <c r="I277" s="7" t="n">
        <v>65</v>
      </c>
      <c r="J277" s="8" t="n">
        <v>0.233</v>
      </c>
      <c r="K277" s="8" t="n">
        <v>0.933</v>
      </c>
      <c r="L277" s="8" t="n">
        <v>1</v>
      </c>
      <c r="M277" s="7" t="s">
        <v>38</v>
      </c>
      <c r="N277" s="7" t="s">
        <v>39</v>
      </c>
      <c r="O277" s="7" t="s">
        <v>518</v>
      </c>
      <c r="P277" s="9"/>
      <c r="Q277" s="9"/>
      <c r="R277" s="7" t="str">
        <f aca="false">IF(P277="",N277,P277)</f>
        <v>entrada não gerada</v>
      </c>
      <c r="S277" s="7" t="str">
        <f aca="false">IF(P277="","",IF(P277=N277,"sim","não"))</f>
        <v/>
      </c>
      <c r="T277" s="10" t="s">
        <v>443</v>
      </c>
    </row>
    <row r="278" customFormat="false" ht="28.35" hidden="false" customHeight="false" outlineLevel="0" collapsed="false">
      <c r="A278" s="7" t="n">
        <v>276</v>
      </c>
      <c r="B278" s="7" t="s">
        <v>343</v>
      </c>
      <c r="C278" s="7" t="s">
        <v>33</v>
      </c>
      <c r="D278" s="7" t="s">
        <v>398</v>
      </c>
      <c r="E278" s="7" t="n">
        <v>95</v>
      </c>
      <c r="F278" s="7" t="s">
        <v>454</v>
      </c>
      <c r="G278" s="7" t="s">
        <v>519</v>
      </c>
      <c r="H278" s="7" t="s">
        <v>95</v>
      </c>
      <c r="I278" s="7" t="n">
        <v>61</v>
      </c>
      <c r="J278" s="8" t="n">
        <v>0.167</v>
      </c>
      <c r="K278" s="8" t="n">
        <v>0.867</v>
      </c>
      <c r="L278" s="8" t="n">
        <v>1</v>
      </c>
      <c r="M278" s="7" t="s">
        <v>38</v>
      </c>
      <c r="N278" s="7" t="s">
        <v>39</v>
      </c>
      <c r="O278" s="7" t="s">
        <v>76</v>
      </c>
      <c r="P278" s="9"/>
      <c r="Q278" s="9"/>
      <c r="R278" s="7" t="str">
        <f aca="false">IF(P278="",N278,P278)</f>
        <v>entrada não gerada</v>
      </c>
      <c r="S278" s="7" t="str">
        <f aca="false">IF(P278="","",IF(P278=N278,"sim","não"))</f>
        <v/>
      </c>
      <c r="T278" s="10" t="s">
        <v>520</v>
      </c>
    </row>
    <row r="279" customFormat="false" ht="23.85" hidden="false" customHeight="false" outlineLevel="0" collapsed="false">
      <c r="A279" s="7" t="n">
        <v>277</v>
      </c>
      <c r="B279" s="7" t="s">
        <v>343</v>
      </c>
      <c r="C279" s="7" t="s">
        <v>33</v>
      </c>
      <c r="D279" s="7" t="s">
        <v>398</v>
      </c>
      <c r="E279" s="7" t="n">
        <v>161</v>
      </c>
      <c r="F279" s="7" t="s">
        <v>481</v>
      </c>
      <c r="G279" s="7" t="s">
        <v>346</v>
      </c>
      <c r="H279" s="7" t="s">
        <v>198</v>
      </c>
      <c r="I279" s="7" t="n">
        <v>88</v>
      </c>
      <c r="J279" s="8" t="n">
        <v>0.933</v>
      </c>
      <c r="K279" s="8" t="n">
        <v>1</v>
      </c>
      <c r="L279" s="8" t="n">
        <v>1</v>
      </c>
      <c r="M279" s="7" t="s">
        <v>38</v>
      </c>
      <c r="N279" s="7" t="s">
        <v>39</v>
      </c>
      <c r="O279" s="7" t="s">
        <v>46</v>
      </c>
      <c r="P279" s="9"/>
      <c r="Q279" s="9"/>
      <c r="R279" s="7" t="str">
        <f aca="false">IF(P279="",N279,P279)</f>
        <v>entrada não gerada</v>
      </c>
      <c r="S279" s="7" t="str">
        <f aca="false">IF(P279="","",IF(P279=N279,"sim","não"))</f>
        <v/>
      </c>
      <c r="T279" s="10" t="s">
        <v>521</v>
      </c>
    </row>
    <row r="280" customFormat="false" ht="23.85" hidden="false" customHeight="false" outlineLevel="0" collapsed="false">
      <c r="A280" s="7" t="n">
        <v>278</v>
      </c>
      <c r="B280" s="7" t="s">
        <v>343</v>
      </c>
      <c r="C280" s="7" t="s">
        <v>33</v>
      </c>
      <c r="D280" s="7" t="s">
        <v>398</v>
      </c>
      <c r="E280" s="7" t="n">
        <v>167</v>
      </c>
      <c r="F280" s="7" t="s">
        <v>487</v>
      </c>
      <c r="G280" s="7" t="s">
        <v>346</v>
      </c>
      <c r="H280" s="7" t="s">
        <v>200</v>
      </c>
      <c r="I280" s="7" t="n">
        <v>88</v>
      </c>
      <c r="J280" s="8" t="n">
        <v>0.933</v>
      </c>
      <c r="K280" s="8" t="n">
        <v>1</v>
      </c>
      <c r="L280" s="8" t="n">
        <v>1</v>
      </c>
      <c r="M280" s="7" t="s">
        <v>38</v>
      </c>
      <c r="N280" s="7" t="s">
        <v>39</v>
      </c>
      <c r="O280" s="7" t="s">
        <v>46</v>
      </c>
      <c r="P280" s="9"/>
      <c r="Q280" s="9"/>
      <c r="R280" s="7" t="str">
        <f aca="false">IF(P280="",N280,P280)</f>
        <v>entrada não gerada</v>
      </c>
      <c r="S280" s="7" t="str">
        <f aca="false">IF(P280="","",IF(P280=N280,"sim","não"))</f>
        <v/>
      </c>
      <c r="T280" s="10" t="s">
        <v>522</v>
      </c>
    </row>
    <row r="281" customFormat="false" ht="35.05" hidden="false" customHeight="false" outlineLevel="0" collapsed="false">
      <c r="A281" s="7" t="n">
        <v>279</v>
      </c>
      <c r="B281" s="7" t="s">
        <v>343</v>
      </c>
      <c r="C281" s="7" t="s">
        <v>33</v>
      </c>
      <c r="D281" s="7" t="s">
        <v>390</v>
      </c>
      <c r="E281" s="7" t="n">
        <v>5</v>
      </c>
      <c r="F281" s="7" t="s">
        <v>492</v>
      </c>
      <c r="G281" s="7" t="s">
        <v>392</v>
      </c>
      <c r="H281" s="7" t="s">
        <v>233</v>
      </c>
      <c r="I281" s="7" t="n">
        <v>0</v>
      </c>
      <c r="J281" s="8" t="n">
        <v>0</v>
      </c>
      <c r="K281" s="8" t="n">
        <v>0</v>
      </c>
      <c r="L281" s="8" t="n">
        <v>0</v>
      </c>
      <c r="M281" s="7" t="s">
        <v>211</v>
      </c>
      <c r="N281" s="7" t="s">
        <v>212</v>
      </c>
      <c r="O281" s="7" t="s">
        <v>493</v>
      </c>
      <c r="P281" s="9"/>
      <c r="Q281" s="9"/>
      <c r="R281" s="7" t="str">
        <f aca="false">IF(P281="",N281,P281)</f>
        <v>equivalente</v>
      </c>
      <c r="S281" s="7" t="str">
        <f aca="false">IF(P281="","",IF(P281=N281,"sim","não"))</f>
        <v/>
      </c>
      <c r="T281" s="10" t="s">
        <v>494</v>
      </c>
    </row>
    <row r="282" customFormat="false" ht="35.05" hidden="false" customHeight="false" outlineLevel="0" collapsed="false">
      <c r="A282" s="7" t="n">
        <v>280</v>
      </c>
      <c r="B282" s="7" t="s">
        <v>343</v>
      </c>
      <c r="C282" s="7" t="s">
        <v>33</v>
      </c>
      <c r="D282" s="7" t="s">
        <v>390</v>
      </c>
      <c r="E282" s="7" t="n">
        <v>5</v>
      </c>
      <c r="F282" s="7" t="s">
        <v>492</v>
      </c>
      <c r="G282" s="7" t="s">
        <v>392</v>
      </c>
      <c r="H282" s="7" t="s">
        <v>233</v>
      </c>
      <c r="I282" s="7" t="n">
        <v>0</v>
      </c>
      <c r="J282" s="8" t="n">
        <v>0</v>
      </c>
      <c r="K282" s="8" t="n">
        <v>0</v>
      </c>
      <c r="L282" s="8" t="n">
        <v>0</v>
      </c>
      <c r="M282" s="7" t="s">
        <v>211</v>
      </c>
      <c r="N282" s="7" t="s">
        <v>212</v>
      </c>
      <c r="O282" s="7" t="s">
        <v>493</v>
      </c>
      <c r="P282" s="9"/>
      <c r="Q282" s="9"/>
      <c r="R282" s="7" t="str">
        <f aca="false">IF(P282="",N282,P282)</f>
        <v>equivalente</v>
      </c>
      <c r="S282" s="7" t="str">
        <f aca="false">IF(P282="","",IF(P282=N282,"sim","não"))</f>
        <v/>
      </c>
      <c r="T282" s="10" t="s">
        <v>495</v>
      </c>
    </row>
    <row r="283" customFormat="false" ht="35.05" hidden="false" customHeight="false" outlineLevel="0" collapsed="false">
      <c r="A283" s="7" t="n">
        <v>281</v>
      </c>
      <c r="B283" s="7" t="s">
        <v>343</v>
      </c>
      <c r="C283" s="7" t="s">
        <v>33</v>
      </c>
      <c r="D283" s="7" t="s">
        <v>390</v>
      </c>
      <c r="E283" s="7" t="n">
        <v>15</v>
      </c>
      <c r="F283" s="7" t="s">
        <v>394</v>
      </c>
      <c r="G283" s="7" t="s">
        <v>392</v>
      </c>
      <c r="H283" s="7" t="s">
        <v>95</v>
      </c>
      <c r="I283" s="7" t="n">
        <v>0</v>
      </c>
      <c r="J283" s="8" t="n">
        <v>0</v>
      </c>
      <c r="K283" s="8" t="n">
        <v>0</v>
      </c>
      <c r="L283" s="8" t="n">
        <v>0</v>
      </c>
      <c r="M283" s="7" t="s">
        <v>211</v>
      </c>
      <c r="N283" s="7" t="s">
        <v>212</v>
      </c>
      <c r="O283" s="7" t="s">
        <v>496</v>
      </c>
      <c r="P283" s="9"/>
      <c r="Q283" s="9"/>
      <c r="R283" s="7" t="str">
        <f aca="false">IF(P283="",N283,P283)</f>
        <v>equivalente</v>
      </c>
      <c r="S283" s="7" t="str">
        <f aca="false">IF(P283="","",IF(P283=N283,"sim","não"))</f>
        <v/>
      </c>
      <c r="T283" s="10" t="s">
        <v>497</v>
      </c>
    </row>
    <row r="284" customFormat="false" ht="35.05" hidden="false" customHeight="false" outlineLevel="0" collapsed="false">
      <c r="A284" s="7" t="n">
        <v>282</v>
      </c>
      <c r="B284" s="7" t="s">
        <v>343</v>
      </c>
      <c r="C284" s="7" t="s">
        <v>33</v>
      </c>
      <c r="D284" s="7" t="s">
        <v>398</v>
      </c>
      <c r="E284" s="7" t="n">
        <v>29</v>
      </c>
      <c r="F284" s="7" t="s">
        <v>498</v>
      </c>
      <c r="G284" s="7" t="s">
        <v>499</v>
      </c>
      <c r="H284" s="7" t="s">
        <v>210</v>
      </c>
      <c r="I284" s="7" t="n">
        <v>0</v>
      </c>
      <c r="J284" s="8" t="n">
        <v>0</v>
      </c>
      <c r="K284" s="8" t="n">
        <v>0</v>
      </c>
      <c r="L284" s="8" t="n">
        <v>0</v>
      </c>
      <c r="M284" s="7" t="s">
        <v>211</v>
      </c>
      <c r="N284" s="7" t="s">
        <v>212</v>
      </c>
      <c r="O284" s="7" t="s">
        <v>213</v>
      </c>
      <c r="P284" s="9"/>
      <c r="Q284" s="9"/>
      <c r="R284" s="7" t="str">
        <f aca="false">IF(P284="",N284,P284)</f>
        <v>equivalente</v>
      </c>
      <c r="S284" s="7" t="str">
        <f aca="false">IF(P284="","",IF(P284=N284,"sim","não"))</f>
        <v/>
      </c>
      <c r="T284" s="10" t="s">
        <v>500</v>
      </c>
    </row>
    <row r="285" customFormat="false" ht="35.05" hidden="false" customHeight="false" outlineLevel="0" collapsed="false">
      <c r="A285" s="7" t="n">
        <v>283</v>
      </c>
      <c r="B285" s="7" t="s">
        <v>343</v>
      </c>
      <c r="C285" s="7" t="s">
        <v>33</v>
      </c>
      <c r="D285" s="7" t="s">
        <v>398</v>
      </c>
      <c r="E285" s="7" t="n">
        <v>40</v>
      </c>
      <c r="F285" s="7" t="s">
        <v>501</v>
      </c>
      <c r="G285" s="7" t="s">
        <v>392</v>
      </c>
      <c r="H285" s="7" t="s">
        <v>120</v>
      </c>
      <c r="I285" s="7" t="n">
        <v>0</v>
      </c>
      <c r="J285" s="8" t="n">
        <v>0</v>
      </c>
      <c r="K285" s="8" t="n">
        <v>0</v>
      </c>
      <c r="L285" s="8" t="n">
        <v>0</v>
      </c>
      <c r="M285" s="7" t="s">
        <v>211</v>
      </c>
      <c r="N285" s="7" t="s">
        <v>212</v>
      </c>
      <c r="O285" s="7" t="s">
        <v>502</v>
      </c>
      <c r="P285" s="9"/>
      <c r="Q285" s="9"/>
      <c r="R285" s="7" t="str">
        <f aca="false">IF(P285="",N285,P285)</f>
        <v>equivalente</v>
      </c>
      <c r="S285" s="7" t="str">
        <f aca="false">IF(P285="","",IF(P285=N285,"sim","não"))</f>
        <v/>
      </c>
      <c r="T285" s="10" t="s">
        <v>503</v>
      </c>
    </row>
    <row r="286" customFormat="false" ht="35.05" hidden="false" customHeight="false" outlineLevel="0" collapsed="false">
      <c r="A286" s="7" t="n">
        <v>284</v>
      </c>
      <c r="B286" s="7" t="s">
        <v>343</v>
      </c>
      <c r="C286" s="7" t="s">
        <v>33</v>
      </c>
      <c r="D286" s="7" t="s">
        <v>398</v>
      </c>
      <c r="E286" s="7" t="n">
        <v>76</v>
      </c>
      <c r="F286" s="7" t="s">
        <v>504</v>
      </c>
      <c r="G286" s="7" t="s">
        <v>392</v>
      </c>
      <c r="H286" s="7" t="s">
        <v>228</v>
      </c>
      <c r="I286" s="7" t="n">
        <v>0</v>
      </c>
      <c r="J286" s="8" t="n">
        <v>0</v>
      </c>
      <c r="K286" s="8" t="n">
        <v>0</v>
      </c>
      <c r="L286" s="8" t="n">
        <v>0</v>
      </c>
      <c r="M286" s="7" t="s">
        <v>211</v>
      </c>
      <c r="N286" s="7" t="s">
        <v>212</v>
      </c>
      <c r="O286" s="7" t="s">
        <v>505</v>
      </c>
      <c r="P286" s="9"/>
      <c r="Q286" s="9"/>
      <c r="R286" s="7" t="str">
        <f aca="false">IF(P286="",N286,P286)</f>
        <v>equivalente</v>
      </c>
      <c r="S286" s="7" t="str">
        <f aca="false">IF(P286="","",IF(P286=N286,"sim","não"))</f>
        <v/>
      </c>
      <c r="T286" s="10" t="s">
        <v>506</v>
      </c>
    </row>
    <row r="287" customFormat="false" ht="35.05" hidden="false" customHeight="false" outlineLevel="0" collapsed="false">
      <c r="A287" s="7" t="n">
        <v>285</v>
      </c>
      <c r="B287" s="7" t="s">
        <v>343</v>
      </c>
      <c r="C287" s="7" t="s">
        <v>33</v>
      </c>
      <c r="D287" s="7" t="s">
        <v>398</v>
      </c>
      <c r="E287" s="7" t="n">
        <v>109</v>
      </c>
      <c r="F287" s="7" t="s">
        <v>507</v>
      </c>
      <c r="G287" s="7" t="s">
        <v>392</v>
      </c>
      <c r="H287" s="7" t="s">
        <v>182</v>
      </c>
      <c r="I287" s="7" t="n">
        <v>0</v>
      </c>
      <c r="J287" s="8" t="n">
        <v>0</v>
      </c>
      <c r="K287" s="8" t="n">
        <v>0</v>
      </c>
      <c r="L287" s="8" t="n">
        <v>0</v>
      </c>
      <c r="M287" s="7" t="s">
        <v>211</v>
      </c>
      <c r="N287" s="7" t="s">
        <v>212</v>
      </c>
      <c r="O287" s="7" t="s">
        <v>508</v>
      </c>
      <c r="P287" s="9"/>
      <c r="Q287" s="9"/>
      <c r="R287" s="7" t="str">
        <f aca="false">IF(P287="",N287,P287)</f>
        <v>equivalente</v>
      </c>
      <c r="S287" s="7" t="str">
        <f aca="false">IF(P287="","",IF(P287=N287,"sim","não"))</f>
        <v/>
      </c>
      <c r="T287" s="10" t="s">
        <v>509</v>
      </c>
    </row>
    <row r="288" customFormat="false" ht="35.05" hidden="false" customHeight="false" outlineLevel="0" collapsed="false">
      <c r="A288" s="7" t="n">
        <v>286</v>
      </c>
      <c r="B288" s="7" t="s">
        <v>343</v>
      </c>
      <c r="C288" s="7" t="s">
        <v>33</v>
      </c>
      <c r="D288" s="7" t="s">
        <v>398</v>
      </c>
      <c r="E288" s="7" t="n">
        <v>153</v>
      </c>
      <c r="F288" s="7" t="s">
        <v>477</v>
      </c>
      <c r="G288" s="7" t="s">
        <v>358</v>
      </c>
      <c r="H288" s="7" t="s">
        <v>37</v>
      </c>
      <c r="I288" s="7" t="n">
        <v>0</v>
      </c>
      <c r="J288" s="8" t="n">
        <v>0</v>
      </c>
      <c r="K288" s="8" t="n">
        <v>0</v>
      </c>
      <c r="L288" s="8" t="n">
        <v>0</v>
      </c>
      <c r="M288" s="7" t="s">
        <v>211</v>
      </c>
      <c r="N288" s="7" t="s">
        <v>212</v>
      </c>
      <c r="O288" s="7" t="s">
        <v>510</v>
      </c>
      <c r="P288" s="9"/>
      <c r="Q288" s="9"/>
      <c r="R288" s="7" t="str">
        <f aca="false">IF(P288="",N288,P288)</f>
        <v>equivalente</v>
      </c>
      <c r="S288" s="7" t="str">
        <f aca="false">IF(P288="","",IF(P288=N288,"sim","não"))</f>
        <v/>
      </c>
      <c r="T288" s="10" t="s">
        <v>511</v>
      </c>
    </row>
    <row r="289" customFormat="false" ht="23.85" hidden="false" customHeight="false" outlineLevel="0" collapsed="false">
      <c r="A289" s="7" t="n">
        <v>287</v>
      </c>
      <c r="B289" s="7" t="s">
        <v>343</v>
      </c>
      <c r="C289" s="7" t="s">
        <v>33</v>
      </c>
      <c r="D289" s="7" t="s">
        <v>344</v>
      </c>
      <c r="E289" s="7" t="n">
        <v>10</v>
      </c>
      <c r="F289" s="7" t="s">
        <v>523</v>
      </c>
      <c r="G289" s="7" t="s">
        <v>350</v>
      </c>
      <c r="H289" s="7" t="s">
        <v>292</v>
      </c>
      <c r="I289" s="7" t="n">
        <v>0</v>
      </c>
      <c r="J289" s="8" t="n">
        <v>0</v>
      </c>
      <c r="K289" s="8" t="n">
        <v>0</v>
      </c>
      <c r="L289" s="8" t="n">
        <v>0</v>
      </c>
      <c r="M289" s="7" t="s">
        <v>38</v>
      </c>
      <c r="N289" s="7" t="s">
        <v>219</v>
      </c>
      <c r="O289" s="7" t="s">
        <v>293</v>
      </c>
      <c r="P289" s="9"/>
      <c r="Q289" s="9"/>
      <c r="R289" s="7" t="str">
        <f aca="false">IF(P289="",N289,P289)</f>
        <v>oráculo fraco</v>
      </c>
      <c r="S289" s="7" t="str">
        <f aca="false">IF(P289="","",IF(P289=N289,"sim","não"))</f>
        <v/>
      </c>
      <c r="T289" s="10" t="s">
        <v>524</v>
      </c>
    </row>
    <row r="290" customFormat="false" ht="23.85" hidden="false" customHeight="false" outlineLevel="0" collapsed="false">
      <c r="A290" s="7" t="n">
        <v>288</v>
      </c>
      <c r="B290" s="7" t="s">
        <v>343</v>
      </c>
      <c r="C290" s="7" t="s">
        <v>33</v>
      </c>
      <c r="D290" s="7" t="s">
        <v>344</v>
      </c>
      <c r="E290" s="7" t="n">
        <v>18</v>
      </c>
      <c r="F290" s="7" t="s">
        <v>345</v>
      </c>
      <c r="G290" s="7" t="s">
        <v>346</v>
      </c>
      <c r="H290" s="7" t="s">
        <v>37</v>
      </c>
      <c r="I290" s="7" t="n">
        <v>0</v>
      </c>
      <c r="J290" s="8" t="n">
        <v>0</v>
      </c>
      <c r="K290" s="8" t="n">
        <v>0</v>
      </c>
      <c r="L290" s="8" t="n">
        <v>0</v>
      </c>
      <c r="M290" s="7" t="s">
        <v>38</v>
      </c>
      <c r="N290" s="7" t="s">
        <v>219</v>
      </c>
      <c r="O290" s="7" t="s">
        <v>298</v>
      </c>
      <c r="P290" s="9"/>
      <c r="Q290" s="9"/>
      <c r="R290" s="7" t="str">
        <f aca="false">IF(P290="",N290,P290)</f>
        <v>oráculo fraco</v>
      </c>
      <c r="S290" s="7" t="str">
        <f aca="false">IF(P290="","",IF(P290=N290,"sim","não"))</f>
        <v/>
      </c>
      <c r="T290" s="10" t="s">
        <v>348</v>
      </c>
    </row>
    <row r="291" customFormat="false" ht="23.85" hidden="false" customHeight="false" outlineLevel="0" collapsed="false">
      <c r="A291" s="7" t="n">
        <v>289</v>
      </c>
      <c r="B291" s="7" t="s">
        <v>343</v>
      </c>
      <c r="C291" s="7" t="s">
        <v>33</v>
      </c>
      <c r="D291" s="7" t="s">
        <v>344</v>
      </c>
      <c r="E291" s="7" t="n">
        <v>21</v>
      </c>
      <c r="F291" s="7" t="s">
        <v>349</v>
      </c>
      <c r="G291" s="7" t="s">
        <v>346</v>
      </c>
      <c r="H291" s="7" t="s">
        <v>37</v>
      </c>
      <c r="I291" s="7" t="n">
        <v>0</v>
      </c>
      <c r="J291" s="8" t="n">
        <v>0</v>
      </c>
      <c r="K291" s="8" t="n">
        <v>0</v>
      </c>
      <c r="L291" s="8" t="n">
        <v>0</v>
      </c>
      <c r="M291" s="7" t="s">
        <v>38</v>
      </c>
      <c r="N291" s="7" t="s">
        <v>219</v>
      </c>
      <c r="O291" s="7" t="s">
        <v>298</v>
      </c>
      <c r="P291" s="9"/>
      <c r="Q291" s="9"/>
      <c r="R291" s="7" t="str">
        <f aca="false">IF(P291="",N291,P291)</f>
        <v>oráculo fraco</v>
      </c>
      <c r="S291" s="7" t="str">
        <f aca="false">IF(P291="","",IF(P291=N291,"sim","não"))</f>
        <v/>
      </c>
      <c r="T291" s="10" t="s">
        <v>352</v>
      </c>
    </row>
    <row r="292" customFormat="false" ht="28.35" hidden="false" customHeight="false" outlineLevel="0" collapsed="false">
      <c r="A292" s="7" t="n">
        <v>290</v>
      </c>
      <c r="B292" s="7" t="s">
        <v>343</v>
      </c>
      <c r="C292" s="7" t="s">
        <v>33</v>
      </c>
      <c r="D292" s="7" t="s">
        <v>344</v>
      </c>
      <c r="E292" s="7" t="n">
        <v>21</v>
      </c>
      <c r="F292" s="7" t="s">
        <v>349</v>
      </c>
      <c r="G292" s="7" t="s">
        <v>353</v>
      </c>
      <c r="H292" s="7" t="s">
        <v>37</v>
      </c>
      <c r="I292" s="7" t="n">
        <v>0</v>
      </c>
      <c r="J292" s="8" t="n">
        <v>0</v>
      </c>
      <c r="K292" s="8" t="n">
        <v>0</v>
      </c>
      <c r="L292" s="8" t="n">
        <v>0</v>
      </c>
      <c r="M292" s="7" t="s">
        <v>38</v>
      </c>
      <c r="N292" s="7" t="s">
        <v>219</v>
      </c>
      <c r="O292" s="7" t="s">
        <v>298</v>
      </c>
      <c r="P292" s="9"/>
      <c r="Q292" s="9"/>
      <c r="R292" s="7" t="str">
        <f aca="false">IF(P292="",N292,P292)</f>
        <v>oráculo fraco</v>
      </c>
      <c r="S292" s="7" t="str">
        <f aca="false">IF(P292="","",IF(P292=N292,"sim","não"))</f>
        <v/>
      </c>
      <c r="T292" s="10" t="s">
        <v>355</v>
      </c>
    </row>
    <row r="293" customFormat="false" ht="23.85" hidden="false" customHeight="false" outlineLevel="0" collapsed="false">
      <c r="A293" s="7" t="n">
        <v>291</v>
      </c>
      <c r="B293" s="7" t="s">
        <v>343</v>
      </c>
      <c r="C293" s="7" t="s">
        <v>33</v>
      </c>
      <c r="D293" s="7" t="s">
        <v>344</v>
      </c>
      <c r="E293" s="7" t="n">
        <v>24</v>
      </c>
      <c r="F293" s="7" t="s">
        <v>356</v>
      </c>
      <c r="G293" s="7" t="s">
        <v>346</v>
      </c>
      <c r="H293" s="7" t="s">
        <v>37</v>
      </c>
      <c r="I293" s="7" t="n">
        <v>0</v>
      </c>
      <c r="J293" s="8" t="n">
        <v>0</v>
      </c>
      <c r="K293" s="8" t="n">
        <v>0</v>
      </c>
      <c r="L293" s="8" t="n">
        <v>0</v>
      </c>
      <c r="M293" s="7" t="s">
        <v>38</v>
      </c>
      <c r="N293" s="7" t="s">
        <v>219</v>
      </c>
      <c r="O293" s="7" t="s">
        <v>298</v>
      </c>
      <c r="P293" s="9"/>
      <c r="Q293" s="9"/>
      <c r="R293" s="7" t="str">
        <f aca="false">IF(P293="",N293,P293)</f>
        <v>oráculo fraco</v>
      </c>
      <c r="S293" s="7" t="str">
        <f aca="false">IF(P293="","",IF(P293=N293,"sim","não"))</f>
        <v/>
      </c>
      <c r="T293" s="10" t="s">
        <v>360</v>
      </c>
    </row>
    <row r="294" customFormat="false" ht="23.85" hidden="false" customHeight="false" outlineLevel="0" collapsed="false">
      <c r="A294" s="7" t="n">
        <v>292</v>
      </c>
      <c r="B294" s="7" t="s">
        <v>343</v>
      </c>
      <c r="C294" s="7" t="s">
        <v>33</v>
      </c>
      <c r="D294" s="7" t="s">
        <v>344</v>
      </c>
      <c r="E294" s="7" t="n">
        <v>28</v>
      </c>
      <c r="F294" s="7" t="s">
        <v>366</v>
      </c>
      <c r="G294" s="7" t="s">
        <v>358</v>
      </c>
      <c r="H294" s="7" t="s">
        <v>70</v>
      </c>
      <c r="I294" s="7" t="n">
        <v>0</v>
      </c>
      <c r="J294" s="8" t="n">
        <v>0</v>
      </c>
      <c r="K294" s="8" t="n">
        <v>0</v>
      </c>
      <c r="L294" s="8" t="n">
        <v>0</v>
      </c>
      <c r="M294" s="7" t="s">
        <v>38</v>
      </c>
      <c r="N294" s="7" t="s">
        <v>219</v>
      </c>
      <c r="O294" s="7" t="s">
        <v>299</v>
      </c>
      <c r="P294" s="9"/>
      <c r="Q294" s="9"/>
      <c r="R294" s="7" t="str">
        <f aca="false">IF(P294="",N294,P294)</f>
        <v>oráculo fraco</v>
      </c>
      <c r="S294" s="7" t="str">
        <f aca="false">IF(P294="","",IF(P294=N294,"sim","não"))</f>
        <v/>
      </c>
      <c r="T294" s="10" t="s">
        <v>368</v>
      </c>
    </row>
    <row r="295" customFormat="false" ht="23.85" hidden="false" customHeight="false" outlineLevel="0" collapsed="false">
      <c r="A295" s="7" t="n">
        <v>293</v>
      </c>
      <c r="B295" s="7" t="s">
        <v>343</v>
      </c>
      <c r="C295" s="7" t="s">
        <v>33</v>
      </c>
      <c r="D295" s="7" t="s">
        <v>344</v>
      </c>
      <c r="E295" s="7" t="n">
        <v>28</v>
      </c>
      <c r="F295" s="7" t="s">
        <v>366</v>
      </c>
      <c r="G295" s="7" t="s">
        <v>346</v>
      </c>
      <c r="H295" s="7" t="s">
        <v>70</v>
      </c>
      <c r="I295" s="7" t="n">
        <v>0</v>
      </c>
      <c r="J295" s="8" t="n">
        <v>0</v>
      </c>
      <c r="K295" s="8" t="n">
        <v>0</v>
      </c>
      <c r="L295" s="8" t="n">
        <v>0</v>
      </c>
      <c r="M295" s="7" t="s">
        <v>38</v>
      </c>
      <c r="N295" s="7" t="s">
        <v>219</v>
      </c>
      <c r="O295" s="7" t="s">
        <v>299</v>
      </c>
      <c r="P295" s="9"/>
      <c r="Q295" s="9"/>
      <c r="R295" s="7" t="str">
        <f aca="false">IF(P295="",N295,P295)</f>
        <v>oráculo fraco</v>
      </c>
      <c r="S295" s="7" t="str">
        <f aca="false">IF(P295="","",IF(P295=N295,"sim","não"))</f>
        <v/>
      </c>
      <c r="T295" s="10" t="s">
        <v>369</v>
      </c>
    </row>
    <row r="296" customFormat="false" ht="28.35" hidden="false" customHeight="false" outlineLevel="0" collapsed="false">
      <c r="A296" s="7" t="n">
        <v>294</v>
      </c>
      <c r="B296" s="7" t="s">
        <v>343</v>
      </c>
      <c r="C296" s="7" t="s">
        <v>33</v>
      </c>
      <c r="D296" s="7" t="s">
        <v>344</v>
      </c>
      <c r="E296" s="7" t="n">
        <v>28</v>
      </c>
      <c r="F296" s="7" t="s">
        <v>366</v>
      </c>
      <c r="G296" s="7" t="s">
        <v>370</v>
      </c>
      <c r="H296" s="7" t="s">
        <v>70</v>
      </c>
      <c r="I296" s="7" t="n">
        <v>0</v>
      </c>
      <c r="J296" s="8" t="n">
        <v>0</v>
      </c>
      <c r="K296" s="8" t="n">
        <v>0</v>
      </c>
      <c r="L296" s="8" t="n">
        <v>0</v>
      </c>
      <c r="M296" s="7" t="s">
        <v>38</v>
      </c>
      <c r="N296" s="7" t="s">
        <v>219</v>
      </c>
      <c r="O296" s="7" t="s">
        <v>299</v>
      </c>
      <c r="P296" s="9"/>
      <c r="Q296" s="9"/>
      <c r="R296" s="7" t="str">
        <f aca="false">IF(P296="",N296,P296)</f>
        <v>oráculo fraco</v>
      </c>
      <c r="S296" s="7" t="str">
        <f aca="false">IF(P296="","",IF(P296=N296,"sim","não"))</f>
        <v/>
      </c>
      <c r="T296" s="10" t="s">
        <v>371</v>
      </c>
    </row>
    <row r="297" customFormat="false" ht="28.35" hidden="false" customHeight="false" outlineLevel="0" collapsed="false">
      <c r="A297" s="7" t="n">
        <v>295</v>
      </c>
      <c r="B297" s="7" t="s">
        <v>343</v>
      </c>
      <c r="C297" s="7" t="s">
        <v>33</v>
      </c>
      <c r="D297" s="7" t="s">
        <v>344</v>
      </c>
      <c r="E297" s="7" t="n">
        <v>29</v>
      </c>
      <c r="F297" s="7" t="s">
        <v>372</v>
      </c>
      <c r="G297" s="7" t="s">
        <v>373</v>
      </c>
      <c r="H297" s="7" t="s">
        <v>70</v>
      </c>
      <c r="I297" s="7" t="n">
        <v>0</v>
      </c>
      <c r="J297" s="8" t="n">
        <v>0</v>
      </c>
      <c r="K297" s="8" t="n">
        <v>0</v>
      </c>
      <c r="L297" s="8" t="n">
        <v>0</v>
      </c>
      <c r="M297" s="7" t="s">
        <v>38</v>
      </c>
      <c r="N297" s="7" t="s">
        <v>219</v>
      </c>
      <c r="O297" s="7" t="s">
        <v>299</v>
      </c>
      <c r="P297" s="9"/>
      <c r="Q297" s="9"/>
      <c r="R297" s="7" t="str">
        <f aca="false">IF(P297="",N297,P297)</f>
        <v>oráculo fraco</v>
      </c>
      <c r="S297" s="7" t="str">
        <f aca="false">IF(P297="","",IF(P297=N297,"sim","não"))</f>
        <v/>
      </c>
      <c r="T297" s="10" t="s">
        <v>374</v>
      </c>
    </row>
    <row r="298" customFormat="false" ht="28.35" hidden="false" customHeight="false" outlineLevel="0" collapsed="false">
      <c r="A298" s="7" t="n">
        <v>296</v>
      </c>
      <c r="B298" s="7" t="s">
        <v>343</v>
      </c>
      <c r="C298" s="7" t="s">
        <v>33</v>
      </c>
      <c r="D298" s="7" t="s">
        <v>344</v>
      </c>
      <c r="E298" s="7" t="n">
        <v>29</v>
      </c>
      <c r="F298" s="7" t="s">
        <v>372</v>
      </c>
      <c r="G298" s="7" t="s">
        <v>375</v>
      </c>
      <c r="H298" s="7" t="s">
        <v>70</v>
      </c>
      <c r="I298" s="7" t="n">
        <v>0</v>
      </c>
      <c r="J298" s="8" t="n">
        <v>0</v>
      </c>
      <c r="K298" s="8" t="n">
        <v>0</v>
      </c>
      <c r="L298" s="8" t="n">
        <v>0</v>
      </c>
      <c r="M298" s="7" t="s">
        <v>38</v>
      </c>
      <c r="N298" s="7" t="s">
        <v>219</v>
      </c>
      <c r="O298" s="7" t="s">
        <v>299</v>
      </c>
      <c r="P298" s="9"/>
      <c r="Q298" s="9"/>
      <c r="R298" s="7" t="str">
        <f aca="false">IF(P298="",N298,P298)</f>
        <v>oráculo fraco</v>
      </c>
      <c r="S298" s="7" t="str">
        <f aca="false">IF(P298="","",IF(P298=N298,"sim","não"))</f>
        <v/>
      </c>
      <c r="T298" s="10" t="s">
        <v>376</v>
      </c>
    </row>
    <row r="299" customFormat="false" ht="23.85" hidden="false" customHeight="false" outlineLevel="0" collapsed="false">
      <c r="A299" s="7" t="n">
        <v>297</v>
      </c>
      <c r="B299" s="7" t="s">
        <v>343</v>
      </c>
      <c r="C299" s="7" t="s">
        <v>33</v>
      </c>
      <c r="D299" s="7" t="s">
        <v>344</v>
      </c>
      <c r="E299" s="7" t="n">
        <v>33</v>
      </c>
      <c r="F299" s="7" t="s">
        <v>377</v>
      </c>
      <c r="G299" s="7" t="s">
        <v>350</v>
      </c>
      <c r="H299" s="7" t="s">
        <v>70</v>
      </c>
      <c r="I299" s="7" t="n">
        <v>0</v>
      </c>
      <c r="J299" s="8" t="n">
        <v>0</v>
      </c>
      <c r="K299" s="8" t="n">
        <v>0</v>
      </c>
      <c r="L299" s="8" t="n">
        <v>0</v>
      </c>
      <c r="M299" s="7" t="s">
        <v>38</v>
      </c>
      <c r="N299" s="7" t="s">
        <v>219</v>
      </c>
      <c r="O299" s="7" t="s">
        <v>299</v>
      </c>
      <c r="P299" s="9"/>
      <c r="Q299" s="9"/>
      <c r="R299" s="7" t="str">
        <f aca="false">IF(P299="",N299,P299)</f>
        <v>oráculo fraco</v>
      </c>
      <c r="S299" s="7" t="str">
        <f aca="false">IF(P299="","",IF(P299=N299,"sim","não"))</f>
        <v/>
      </c>
      <c r="T299" s="10" t="s">
        <v>378</v>
      </c>
    </row>
    <row r="300" customFormat="false" ht="23.85" hidden="false" customHeight="false" outlineLevel="0" collapsed="false">
      <c r="A300" s="7" t="n">
        <v>298</v>
      </c>
      <c r="B300" s="7" t="s">
        <v>343</v>
      </c>
      <c r="C300" s="7" t="s">
        <v>33</v>
      </c>
      <c r="D300" s="7" t="s">
        <v>344</v>
      </c>
      <c r="E300" s="7" t="n">
        <v>33</v>
      </c>
      <c r="F300" s="7" t="s">
        <v>377</v>
      </c>
      <c r="G300" s="7" t="s">
        <v>358</v>
      </c>
      <c r="H300" s="7" t="s">
        <v>70</v>
      </c>
      <c r="I300" s="7" t="n">
        <v>0</v>
      </c>
      <c r="J300" s="8" t="n">
        <v>0</v>
      </c>
      <c r="K300" s="8" t="n">
        <v>0</v>
      </c>
      <c r="L300" s="8" t="n">
        <v>0</v>
      </c>
      <c r="M300" s="7" t="s">
        <v>38</v>
      </c>
      <c r="N300" s="7" t="s">
        <v>219</v>
      </c>
      <c r="O300" s="7" t="s">
        <v>299</v>
      </c>
      <c r="P300" s="9"/>
      <c r="Q300" s="9"/>
      <c r="R300" s="7" t="str">
        <f aca="false">IF(P300="",N300,P300)</f>
        <v>oráculo fraco</v>
      </c>
      <c r="S300" s="7" t="str">
        <f aca="false">IF(P300="","",IF(P300=N300,"sim","não"))</f>
        <v/>
      </c>
      <c r="T300" s="10" t="s">
        <v>379</v>
      </c>
    </row>
    <row r="301" customFormat="false" ht="23.85" hidden="false" customHeight="false" outlineLevel="0" collapsed="false">
      <c r="A301" s="7" t="n">
        <v>299</v>
      </c>
      <c r="B301" s="7" t="s">
        <v>343</v>
      </c>
      <c r="C301" s="7" t="s">
        <v>33</v>
      </c>
      <c r="D301" s="7" t="s">
        <v>344</v>
      </c>
      <c r="E301" s="7" t="n">
        <v>33</v>
      </c>
      <c r="F301" s="7" t="s">
        <v>377</v>
      </c>
      <c r="G301" s="7" t="s">
        <v>346</v>
      </c>
      <c r="H301" s="7" t="s">
        <v>70</v>
      </c>
      <c r="I301" s="7" t="n">
        <v>0</v>
      </c>
      <c r="J301" s="8" t="n">
        <v>0</v>
      </c>
      <c r="K301" s="8" t="n">
        <v>0</v>
      </c>
      <c r="L301" s="8" t="n">
        <v>0</v>
      </c>
      <c r="M301" s="7" t="s">
        <v>38</v>
      </c>
      <c r="N301" s="7" t="s">
        <v>219</v>
      </c>
      <c r="O301" s="7" t="s">
        <v>299</v>
      </c>
      <c r="P301" s="9"/>
      <c r="Q301" s="9"/>
      <c r="R301" s="7" t="str">
        <f aca="false">IF(P301="",N301,P301)</f>
        <v>oráculo fraco</v>
      </c>
      <c r="S301" s="7" t="str">
        <f aca="false">IF(P301="","",IF(P301=N301,"sim","não"))</f>
        <v/>
      </c>
      <c r="T301" s="10" t="s">
        <v>380</v>
      </c>
    </row>
    <row r="302" customFormat="false" ht="28.35" hidden="false" customHeight="false" outlineLevel="0" collapsed="false">
      <c r="A302" s="7" t="n">
        <v>300</v>
      </c>
      <c r="B302" s="7" t="s">
        <v>343</v>
      </c>
      <c r="C302" s="7" t="s">
        <v>33</v>
      </c>
      <c r="D302" s="7" t="s">
        <v>344</v>
      </c>
      <c r="E302" s="7" t="n">
        <v>33</v>
      </c>
      <c r="F302" s="7" t="s">
        <v>377</v>
      </c>
      <c r="G302" s="7" t="s">
        <v>381</v>
      </c>
      <c r="H302" s="7" t="s">
        <v>70</v>
      </c>
      <c r="I302" s="7" t="n">
        <v>0</v>
      </c>
      <c r="J302" s="8" t="n">
        <v>0</v>
      </c>
      <c r="K302" s="8" t="n">
        <v>0</v>
      </c>
      <c r="L302" s="8" t="n">
        <v>0</v>
      </c>
      <c r="M302" s="7" t="s">
        <v>38</v>
      </c>
      <c r="N302" s="7" t="s">
        <v>219</v>
      </c>
      <c r="O302" s="7" t="s">
        <v>299</v>
      </c>
      <c r="P302" s="9"/>
      <c r="Q302" s="9"/>
      <c r="R302" s="7" t="str">
        <f aca="false">IF(P302="",N302,P302)</f>
        <v>oráculo fraco</v>
      </c>
      <c r="S302" s="7" t="str">
        <f aca="false">IF(P302="","",IF(P302=N302,"sim","não"))</f>
        <v/>
      </c>
      <c r="T302" s="10" t="s">
        <v>382</v>
      </c>
    </row>
    <row r="303" customFormat="false" ht="35.05" hidden="false" customHeight="false" outlineLevel="0" collapsed="false">
      <c r="A303" s="7" t="n">
        <v>301</v>
      </c>
      <c r="B303" s="7" t="s">
        <v>343</v>
      </c>
      <c r="C303" s="7" t="s">
        <v>33</v>
      </c>
      <c r="D303" s="7" t="s">
        <v>344</v>
      </c>
      <c r="E303" s="7" t="n">
        <v>34</v>
      </c>
      <c r="F303" s="7" t="s">
        <v>383</v>
      </c>
      <c r="G303" s="7" t="s">
        <v>384</v>
      </c>
      <c r="H303" s="7" t="s">
        <v>70</v>
      </c>
      <c r="I303" s="7" t="n">
        <v>0</v>
      </c>
      <c r="J303" s="8" t="n">
        <v>0</v>
      </c>
      <c r="K303" s="8" t="n">
        <v>0</v>
      </c>
      <c r="L303" s="8" t="n">
        <v>0</v>
      </c>
      <c r="M303" s="7" t="s">
        <v>38</v>
      </c>
      <c r="N303" s="7" t="s">
        <v>219</v>
      </c>
      <c r="O303" s="7" t="s">
        <v>299</v>
      </c>
      <c r="P303" s="9"/>
      <c r="Q303" s="9"/>
      <c r="R303" s="7" t="str">
        <f aca="false">IF(P303="",N303,P303)</f>
        <v>oráculo fraco</v>
      </c>
      <c r="S303" s="7" t="str">
        <f aca="false">IF(P303="","",IF(P303=N303,"sim","não"))</f>
        <v/>
      </c>
      <c r="T303" s="10" t="s">
        <v>385</v>
      </c>
    </row>
    <row r="304" customFormat="false" ht="23.85" hidden="false" customHeight="false" outlineLevel="0" collapsed="false">
      <c r="A304" s="7" t="n">
        <v>302</v>
      </c>
      <c r="B304" s="7" t="s">
        <v>343</v>
      </c>
      <c r="C304" s="7" t="s">
        <v>33</v>
      </c>
      <c r="D304" s="7" t="s">
        <v>390</v>
      </c>
      <c r="E304" s="7" t="n">
        <v>8</v>
      </c>
      <c r="F304" s="7" t="s">
        <v>525</v>
      </c>
      <c r="G304" s="7" t="s">
        <v>392</v>
      </c>
      <c r="H304" s="7" t="s">
        <v>206</v>
      </c>
      <c r="I304" s="7" t="n">
        <v>0</v>
      </c>
      <c r="J304" s="8" t="n">
        <v>0</v>
      </c>
      <c r="K304" s="8" t="n">
        <v>0</v>
      </c>
      <c r="L304" s="8" t="n">
        <v>0</v>
      </c>
      <c r="M304" s="7" t="s">
        <v>38</v>
      </c>
      <c r="N304" s="7" t="s">
        <v>219</v>
      </c>
      <c r="O304" s="7" t="s">
        <v>526</v>
      </c>
      <c r="P304" s="9"/>
      <c r="Q304" s="9"/>
      <c r="R304" s="7" t="str">
        <f aca="false">IF(P304="",N304,P304)</f>
        <v>oráculo fraco</v>
      </c>
      <c r="S304" s="7" t="str">
        <f aca="false">IF(P304="","",IF(P304=N304,"sim","não"))</f>
        <v/>
      </c>
      <c r="T304" s="10" t="s">
        <v>527</v>
      </c>
    </row>
    <row r="305" customFormat="false" ht="23.85" hidden="false" customHeight="false" outlineLevel="0" collapsed="false">
      <c r="A305" s="7" t="n">
        <v>303</v>
      </c>
      <c r="B305" s="7" t="s">
        <v>343</v>
      </c>
      <c r="C305" s="7" t="s">
        <v>33</v>
      </c>
      <c r="D305" s="7" t="s">
        <v>390</v>
      </c>
      <c r="E305" s="7" t="n">
        <v>9</v>
      </c>
      <c r="F305" s="7" t="s">
        <v>528</v>
      </c>
      <c r="G305" s="7" t="s">
        <v>392</v>
      </c>
      <c r="H305" s="7" t="s">
        <v>206</v>
      </c>
      <c r="I305" s="7" t="n">
        <v>0</v>
      </c>
      <c r="J305" s="8" t="n">
        <v>0</v>
      </c>
      <c r="K305" s="8" t="n">
        <v>0</v>
      </c>
      <c r="L305" s="8" t="n">
        <v>0</v>
      </c>
      <c r="M305" s="7" t="s">
        <v>38</v>
      </c>
      <c r="N305" s="7" t="s">
        <v>219</v>
      </c>
      <c r="O305" s="7" t="s">
        <v>526</v>
      </c>
      <c r="P305" s="9"/>
      <c r="Q305" s="9"/>
      <c r="R305" s="7" t="str">
        <f aca="false">IF(P305="",N305,P305)</f>
        <v>oráculo fraco</v>
      </c>
      <c r="S305" s="7" t="str">
        <f aca="false">IF(P305="","",IF(P305=N305,"sim","não"))</f>
        <v/>
      </c>
      <c r="T305" s="10" t="s">
        <v>529</v>
      </c>
    </row>
    <row r="306" customFormat="false" ht="23.85" hidden="false" customHeight="false" outlineLevel="0" collapsed="false">
      <c r="A306" s="7" t="n">
        <v>304</v>
      </c>
      <c r="B306" s="7" t="s">
        <v>343</v>
      </c>
      <c r="C306" s="7" t="s">
        <v>33</v>
      </c>
      <c r="D306" s="7" t="s">
        <v>390</v>
      </c>
      <c r="E306" s="7" t="n">
        <v>10</v>
      </c>
      <c r="F306" s="7" t="s">
        <v>391</v>
      </c>
      <c r="G306" s="7" t="s">
        <v>392</v>
      </c>
      <c r="H306" s="7" t="s">
        <v>206</v>
      </c>
      <c r="I306" s="7" t="n">
        <v>0</v>
      </c>
      <c r="J306" s="8" t="n">
        <v>0</v>
      </c>
      <c r="K306" s="8" t="n">
        <v>0</v>
      </c>
      <c r="L306" s="8" t="n">
        <v>0</v>
      </c>
      <c r="M306" s="7" t="s">
        <v>38</v>
      </c>
      <c r="N306" s="7" t="s">
        <v>219</v>
      </c>
      <c r="O306" s="7" t="s">
        <v>526</v>
      </c>
      <c r="P306" s="9"/>
      <c r="Q306" s="9"/>
      <c r="R306" s="7" t="str">
        <f aca="false">IF(P306="",N306,P306)</f>
        <v>oráculo fraco</v>
      </c>
      <c r="S306" s="7" t="str">
        <f aca="false">IF(P306="","",IF(P306=N306,"sim","não"))</f>
        <v/>
      </c>
      <c r="T306" s="10" t="s">
        <v>393</v>
      </c>
    </row>
    <row r="307" customFormat="false" ht="23.85" hidden="false" customHeight="false" outlineLevel="0" collapsed="false">
      <c r="A307" s="7" t="n">
        <v>305</v>
      </c>
      <c r="B307" s="7" t="s">
        <v>343</v>
      </c>
      <c r="C307" s="7" t="s">
        <v>33</v>
      </c>
      <c r="D307" s="7" t="s">
        <v>390</v>
      </c>
      <c r="E307" s="7" t="n">
        <v>11</v>
      </c>
      <c r="F307" s="7" t="s">
        <v>530</v>
      </c>
      <c r="G307" s="7" t="s">
        <v>392</v>
      </c>
      <c r="H307" s="7" t="s">
        <v>206</v>
      </c>
      <c r="I307" s="7" t="n">
        <v>0</v>
      </c>
      <c r="J307" s="8" t="n">
        <v>0</v>
      </c>
      <c r="K307" s="8" t="n">
        <v>0</v>
      </c>
      <c r="L307" s="8" t="n">
        <v>0</v>
      </c>
      <c r="M307" s="7" t="s">
        <v>38</v>
      </c>
      <c r="N307" s="7" t="s">
        <v>219</v>
      </c>
      <c r="O307" s="7" t="s">
        <v>526</v>
      </c>
      <c r="P307" s="9"/>
      <c r="Q307" s="9"/>
      <c r="R307" s="7" t="str">
        <f aca="false">IF(P307="",N307,P307)</f>
        <v>oráculo fraco</v>
      </c>
      <c r="S307" s="7" t="str">
        <f aca="false">IF(P307="","",IF(P307=N307,"sim","não"))</f>
        <v/>
      </c>
      <c r="T307" s="10" t="s">
        <v>531</v>
      </c>
    </row>
    <row r="308" customFormat="false" ht="23.85" hidden="false" customHeight="false" outlineLevel="0" collapsed="false">
      <c r="A308" s="7" t="n">
        <v>306</v>
      </c>
      <c r="B308" s="7" t="s">
        <v>343</v>
      </c>
      <c r="C308" s="7" t="s">
        <v>33</v>
      </c>
      <c r="D308" s="7" t="s">
        <v>390</v>
      </c>
      <c r="E308" s="7" t="n">
        <v>12</v>
      </c>
      <c r="F308" s="7" t="s">
        <v>532</v>
      </c>
      <c r="G308" s="7" t="s">
        <v>392</v>
      </c>
      <c r="H308" s="7" t="s">
        <v>206</v>
      </c>
      <c r="I308" s="7" t="n">
        <v>0</v>
      </c>
      <c r="J308" s="8" t="n">
        <v>0</v>
      </c>
      <c r="K308" s="8" t="n">
        <v>0</v>
      </c>
      <c r="L308" s="8" t="n">
        <v>0</v>
      </c>
      <c r="M308" s="7" t="s">
        <v>38</v>
      </c>
      <c r="N308" s="7" t="s">
        <v>219</v>
      </c>
      <c r="O308" s="7" t="s">
        <v>526</v>
      </c>
      <c r="P308" s="9"/>
      <c r="Q308" s="9"/>
      <c r="R308" s="7" t="str">
        <f aca="false">IF(P308="",N308,P308)</f>
        <v>oráculo fraco</v>
      </c>
      <c r="S308" s="7" t="str">
        <f aca="false">IF(P308="","",IF(P308=N308,"sim","não"))</f>
        <v/>
      </c>
      <c r="T308" s="10" t="s">
        <v>533</v>
      </c>
    </row>
    <row r="309" customFormat="false" ht="23.85" hidden="false" customHeight="false" outlineLevel="0" collapsed="false">
      <c r="A309" s="7" t="n">
        <v>307</v>
      </c>
      <c r="B309" s="7" t="s">
        <v>343</v>
      </c>
      <c r="C309" s="7" t="s">
        <v>33</v>
      </c>
      <c r="D309" s="7" t="s">
        <v>398</v>
      </c>
      <c r="E309" s="7" t="n">
        <v>150</v>
      </c>
      <c r="F309" s="7" t="s">
        <v>534</v>
      </c>
      <c r="G309" s="7" t="s">
        <v>350</v>
      </c>
      <c r="H309" s="7" t="s">
        <v>292</v>
      </c>
      <c r="I309" s="7" t="n">
        <v>0</v>
      </c>
      <c r="J309" s="8" t="n">
        <v>0</v>
      </c>
      <c r="K309" s="8" t="n">
        <v>0</v>
      </c>
      <c r="L309" s="8" t="n">
        <v>0</v>
      </c>
      <c r="M309" s="7" t="s">
        <v>38</v>
      </c>
      <c r="N309" s="7" t="s">
        <v>219</v>
      </c>
      <c r="O309" s="7" t="s">
        <v>293</v>
      </c>
      <c r="P309" s="9"/>
      <c r="Q309" s="9"/>
      <c r="R309" s="7" t="str">
        <f aca="false">IF(P309="",N309,P309)</f>
        <v>oráculo fraco</v>
      </c>
      <c r="S309" s="7" t="str">
        <f aca="false">IF(P309="","",IF(P309=N309,"sim","não"))</f>
        <v/>
      </c>
      <c r="T309" s="10" t="s">
        <v>535</v>
      </c>
    </row>
    <row r="310" customFormat="false" ht="23.85" hidden="false" customHeight="false" outlineLevel="0" collapsed="false">
      <c r="A310" s="7" t="n">
        <v>308</v>
      </c>
      <c r="B310" s="7" t="s">
        <v>343</v>
      </c>
      <c r="C310" s="7" t="s">
        <v>33</v>
      </c>
      <c r="D310" s="7" t="s">
        <v>398</v>
      </c>
      <c r="E310" s="7" t="n">
        <v>153</v>
      </c>
      <c r="F310" s="7" t="s">
        <v>477</v>
      </c>
      <c r="G310" s="7" t="s">
        <v>346</v>
      </c>
      <c r="H310" s="7" t="s">
        <v>37</v>
      </c>
      <c r="I310" s="7" t="n">
        <v>0</v>
      </c>
      <c r="J310" s="8" t="n">
        <v>0</v>
      </c>
      <c r="K310" s="8" t="n">
        <v>0</v>
      </c>
      <c r="L310" s="8" t="n">
        <v>0</v>
      </c>
      <c r="M310" s="7" t="s">
        <v>38</v>
      </c>
      <c r="N310" s="7" t="s">
        <v>219</v>
      </c>
      <c r="O310" s="7" t="s">
        <v>298</v>
      </c>
      <c r="P310" s="9"/>
      <c r="Q310" s="9"/>
      <c r="R310" s="7" t="str">
        <f aca="false">IF(P310="",N310,P310)</f>
        <v>oráculo fraco</v>
      </c>
      <c r="S310" s="7" t="str">
        <f aca="false">IF(P310="","",IF(P310=N310,"sim","não"))</f>
        <v/>
      </c>
      <c r="T310" s="10" t="s">
        <v>478</v>
      </c>
    </row>
    <row r="311" customFormat="false" ht="28.35" hidden="false" customHeight="false" outlineLevel="0" collapsed="false">
      <c r="A311" s="7" t="n">
        <v>309</v>
      </c>
      <c r="B311" s="7" t="s">
        <v>343</v>
      </c>
      <c r="C311" s="7" t="s">
        <v>33</v>
      </c>
      <c r="D311" s="7" t="s">
        <v>398</v>
      </c>
      <c r="E311" s="7" t="n">
        <v>153</v>
      </c>
      <c r="F311" s="7" t="s">
        <v>477</v>
      </c>
      <c r="G311" s="7" t="s">
        <v>479</v>
      </c>
      <c r="H311" s="7" t="s">
        <v>37</v>
      </c>
      <c r="I311" s="7" t="n">
        <v>0</v>
      </c>
      <c r="J311" s="8" t="n">
        <v>0</v>
      </c>
      <c r="K311" s="8" t="n">
        <v>0</v>
      </c>
      <c r="L311" s="8" t="n">
        <v>0</v>
      </c>
      <c r="M311" s="7" t="s">
        <v>38</v>
      </c>
      <c r="N311" s="7" t="s">
        <v>219</v>
      </c>
      <c r="O311" s="7" t="s">
        <v>298</v>
      </c>
      <c r="P311" s="9"/>
      <c r="Q311" s="9"/>
      <c r="R311" s="7" t="str">
        <f aca="false">IF(P311="",N311,P311)</f>
        <v>oráculo fraco</v>
      </c>
      <c r="S311" s="7" t="str">
        <f aca="false">IF(P311="","",IF(P311=N311,"sim","não"))</f>
        <v/>
      </c>
      <c r="T311" s="10" t="s">
        <v>480</v>
      </c>
    </row>
    <row r="312" customFormat="false" ht="23.85" hidden="false" customHeight="false" outlineLevel="0" collapsed="false">
      <c r="A312" s="7" t="n">
        <v>310</v>
      </c>
      <c r="B312" s="7" t="s">
        <v>343</v>
      </c>
      <c r="C312" s="7" t="s">
        <v>33</v>
      </c>
      <c r="D312" s="7" t="s">
        <v>398</v>
      </c>
      <c r="E312" s="7" t="n">
        <v>164</v>
      </c>
      <c r="F312" s="7" t="s">
        <v>464</v>
      </c>
      <c r="G312" s="7" t="s">
        <v>461</v>
      </c>
      <c r="H312" s="7" t="s">
        <v>200</v>
      </c>
      <c r="I312" s="7" t="n">
        <v>0</v>
      </c>
      <c r="J312" s="8" t="n">
        <v>0</v>
      </c>
      <c r="K312" s="8" t="n">
        <v>0</v>
      </c>
      <c r="L312" s="8" t="n">
        <v>0</v>
      </c>
      <c r="M312" s="7" t="s">
        <v>38</v>
      </c>
      <c r="N312" s="7" t="s">
        <v>219</v>
      </c>
      <c r="O312" s="7" t="s">
        <v>303</v>
      </c>
      <c r="P312" s="9"/>
      <c r="Q312" s="9"/>
      <c r="R312" s="7" t="str">
        <f aca="false">IF(P312="",N312,P312)</f>
        <v>oráculo fraco</v>
      </c>
      <c r="S312" s="7" t="str">
        <f aca="false">IF(P312="","",IF(P312=N312,"sim","não"))</f>
        <v/>
      </c>
      <c r="T312" s="10" t="s">
        <v>486</v>
      </c>
    </row>
    <row r="313" customFormat="false" ht="35.05" hidden="false" customHeight="false" outlineLevel="0" collapsed="false">
      <c r="A313" s="7" t="n">
        <v>311</v>
      </c>
      <c r="B313" s="7" t="s">
        <v>343</v>
      </c>
      <c r="C313" s="7" t="s">
        <v>33</v>
      </c>
      <c r="D313" s="7" t="s">
        <v>398</v>
      </c>
      <c r="E313" s="7" t="n">
        <v>167</v>
      </c>
      <c r="F313" s="7" t="s">
        <v>487</v>
      </c>
      <c r="G313" s="7" t="s">
        <v>488</v>
      </c>
      <c r="H313" s="7" t="s">
        <v>200</v>
      </c>
      <c r="I313" s="7" t="n">
        <v>0</v>
      </c>
      <c r="J313" s="8" t="n">
        <v>0</v>
      </c>
      <c r="K313" s="8" t="n">
        <v>0</v>
      </c>
      <c r="L313" s="8" t="n">
        <v>0</v>
      </c>
      <c r="M313" s="7" t="s">
        <v>38</v>
      </c>
      <c r="N313" s="7" t="s">
        <v>219</v>
      </c>
      <c r="O313" s="7" t="s">
        <v>303</v>
      </c>
      <c r="P313" s="9"/>
      <c r="Q313" s="9"/>
      <c r="R313" s="7" t="str">
        <f aca="false">IF(P313="",N313,P313)</f>
        <v>oráculo fraco</v>
      </c>
      <c r="S313" s="7" t="str">
        <f aca="false">IF(P313="","",IF(P313=N313,"sim","não"))</f>
        <v/>
      </c>
      <c r="T313" s="10" t="s">
        <v>489</v>
      </c>
    </row>
    <row r="314" customFormat="false" ht="35.05" hidden="false" customHeight="false" outlineLevel="0" collapsed="false">
      <c r="A314" s="7" t="n">
        <v>312</v>
      </c>
      <c r="B314" s="7" t="s">
        <v>343</v>
      </c>
      <c r="C314" s="7" t="s">
        <v>33</v>
      </c>
      <c r="D314" s="7" t="s">
        <v>398</v>
      </c>
      <c r="E314" s="7" t="n">
        <v>168</v>
      </c>
      <c r="F314" s="7" t="s">
        <v>490</v>
      </c>
      <c r="G314" s="7" t="s">
        <v>392</v>
      </c>
      <c r="H314" s="7" t="s">
        <v>200</v>
      </c>
      <c r="I314" s="7" t="n">
        <v>0</v>
      </c>
      <c r="J314" s="8" t="n">
        <v>0</v>
      </c>
      <c r="K314" s="8" t="n">
        <v>0</v>
      </c>
      <c r="L314" s="8" t="n">
        <v>0</v>
      </c>
      <c r="M314" s="7" t="s">
        <v>38</v>
      </c>
      <c r="N314" s="7" t="s">
        <v>219</v>
      </c>
      <c r="O314" s="7" t="s">
        <v>303</v>
      </c>
      <c r="P314" s="9"/>
      <c r="Q314" s="9"/>
      <c r="R314" s="7" t="str">
        <f aca="false">IF(P314="",N314,P314)</f>
        <v>oráculo fraco</v>
      </c>
      <c r="S314" s="7" t="str">
        <f aca="false">IF(P314="","",IF(P314=N314,"sim","não"))</f>
        <v/>
      </c>
      <c r="T314" s="10" t="s">
        <v>491</v>
      </c>
    </row>
    <row r="315" customFormat="false" ht="35.05" hidden="false" customHeight="false" outlineLevel="0" collapsed="false">
      <c r="A315" s="7" t="n">
        <v>313</v>
      </c>
      <c r="B315" s="7" t="s">
        <v>343</v>
      </c>
      <c r="C315" s="7" t="s">
        <v>33</v>
      </c>
      <c r="D315" s="7" t="s">
        <v>390</v>
      </c>
      <c r="E315" s="7" t="n">
        <v>5</v>
      </c>
      <c r="F315" s="7" t="s">
        <v>492</v>
      </c>
      <c r="G315" s="7" t="s">
        <v>395</v>
      </c>
      <c r="H315" s="7" t="s">
        <v>233</v>
      </c>
      <c r="I315" s="7" t="n">
        <v>0</v>
      </c>
      <c r="J315" s="8" t="n">
        <v>0</v>
      </c>
      <c r="K315" s="8" t="n">
        <v>0</v>
      </c>
      <c r="L315" s="8" t="n">
        <v>0</v>
      </c>
      <c r="M315" s="7" t="s">
        <v>38</v>
      </c>
      <c r="N315" s="7" t="s">
        <v>304</v>
      </c>
      <c r="O315" s="7" t="s">
        <v>322</v>
      </c>
      <c r="P315" s="9"/>
      <c r="Q315" s="9"/>
      <c r="R315" s="7" t="str">
        <f aca="false">IF(P315="",N315,P315)</f>
        <v>regra sem propriedade</v>
      </c>
      <c r="S315" s="7" t="str">
        <f aca="false">IF(P315="","",IF(P315=N315,"sim","não"))</f>
        <v/>
      </c>
      <c r="T315" s="10" t="s">
        <v>536</v>
      </c>
    </row>
    <row r="316" customFormat="false" ht="35.05" hidden="false" customHeight="false" outlineLevel="0" collapsed="false">
      <c r="A316" s="7" t="n">
        <v>314</v>
      </c>
      <c r="B316" s="7" t="s">
        <v>343</v>
      </c>
      <c r="C316" s="7" t="s">
        <v>33</v>
      </c>
      <c r="D316" s="7" t="s">
        <v>390</v>
      </c>
      <c r="E316" s="7" t="n">
        <v>5</v>
      </c>
      <c r="F316" s="7" t="s">
        <v>492</v>
      </c>
      <c r="G316" s="7" t="s">
        <v>392</v>
      </c>
      <c r="H316" s="7" t="s">
        <v>233</v>
      </c>
      <c r="I316" s="7" t="n">
        <v>0</v>
      </c>
      <c r="J316" s="8" t="n">
        <v>0</v>
      </c>
      <c r="K316" s="8" t="n">
        <v>0</v>
      </c>
      <c r="L316" s="8" t="n">
        <v>0</v>
      </c>
      <c r="M316" s="7" t="s">
        <v>38</v>
      </c>
      <c r="N316" s="7" t="s">
        <v>304</v>
      </c>
      <c r="O316" s="7" t="s">
        <v>322</v>
      </c>
      <c r="P316" s="9"/>
      <c r="Q316" s="9"/>
      <c r="R316" s="7" t="str">
        <f aca="false">IF(P316="",N316,P316)</f>
        <v>regra sem propriedade</v>
      </c>
      <c r="S316" s="7" t="str">
        <f aca="false">IF(P316="","",IF(P316=N316,"sim","não"))</f>
        <v/>
      </c>
      <c r="T316" s="10" t="s">
        <v>537</v>
      </c>
    </row>
    <row r="317" customFormat="false" ht="23.85" hidden="false" customHeight="false" outlineLevel="0" collapsed="false">
      <c r="A317" s="7" t="n">
        <v>315</v>
      </c>
      <c r="B317" s="7" t="s">
        <v>343</v>
      </c>
      <c r="C317" s="7" t="s">
        <v>33</v>
      </c>
      <c r="D317" s="7" t="s">
        <v>390</v>
      </c>
      <c r="E317" s="7" t="n">
        <v>15</v>
      </c>
      <c r="F317" s="7" t="s">
        <v>394</v>
      </c>
      <c r="G317" s="7" t="s">
        <v>395</v>
      </c>
      <c r="H317" s="7" t="s">
        <v>95</v>
      </c>
      <c r="I317" s="7" t="n">
        <v>0</v>
      </c>
      <c r="J317" s="8" t="n">
        <v>0</v>
      </c>
      <c r="K317" s="8" t="n">
        <v>0</v>
      </c>
      <c r="L317" s="8" t="n">
        <v>0</v>
      </c>
      <c r="M317" s="7" t="s">
        <v>38</v>
      </c>
      <c r="N317" s="7" t="s">
        <v>304</v>
      </c>
      <c r="O317" s="7" t="s">
        <v>305</v>
      </c>
      <c r="P317" s="9"/>
      <c r="Q317" s="9"/>
      <c r="R317" s="7" t="str">
        <f aca="false">IF(P317="",N317,P317)</f>
        <v>regra sem propriedade</v>
      </c>
      <c r="S317" s="7" t="str">
        <f aca="false">IF(P317="","",IF(P317=N317,"sim","não"))</f>
        <v/>
      </c>
      <c r="T317" s="10" t="s">
        <v>396</v>
      </c>
    </row>
    <row r="318" customFormat="false" ht="23.85" hidden="false" customHeight="false" outlineLevel="0" collapsed="false">
      <c r="A318" s="7" t="n">
        <v>316</v>
      </c>
      <c r="B318" s="7" t="s">
        <v>343</v>
      </c>
      <c r="C318" s="7" t="s">
        <v>33</v>
      </c>
      <c r="D318" s="7" t="s">
        <v>390</v>
      </c>
      <c r="E318" s="7" t="n">
        <v>15</v>
      </c>
      <c r="F318" s="7" t="s">
        <v>394</v>
      </c>
      <c r="G318" s="7" t="s">
        <v>392</v>
      </c>
      <c r="H318" s="7" t="s">
        <v>95</v>
      </c>
      <c r="I318" s="7" t="n">
        <v>0</v>
      </c>
      <c r="J318" s="8" t="n">
        <v>0</v>
      </c>
      <c r="K318" s="8" t="n">
        <v>0</v>
      </c>
      <c r="L318" s="8" t="n">
        <v>0</v>
      </c>
      <c r="M318" s="7" t="s">
        <v>38</v>
      </c>
      <c r="N318" s="7" t="s">
        <v>304</v>
      </c>
      <c r="O318" s="7" t="s">
        <v>305</v>
      </c>
      <c r="P318" s="9"/>
      <c r="Q318" s="9"/>
      <c r="R318" s="7" t="str">
        <f aca="false">IF(P318="",N318,P318)</f>
        <v>regra sem propriedade</v>
      </c>
      <c r="S318" s="7" t="str">
        <f aca="false">IF(P318="","",IF(P318=N318,"sim","não"))</f>
        <v/>
      </c>
      <c r="T318" s="10" t="s">
        <v>397</v>
      </c>
    </row>
    <row r="319" customFormat="false" ht="23.85" hidden="false" customHeight="false" outlineLevel="0" collapsed="false">
      <c r="A319" s="7" t="n">
        <v>317</v>
      </c>
      <c r="B319" s="7" t="s">
        <v>343</v>
      </c>
      <c r="C319" s="7" t="s">
        <v>33</v>
      </c>
      <c r="D319" s="7" t="s">
        <v>398</v>
      </c>
      <c r="E319" s="7" t="n">
        <v>37</v>
      </c>
      <c r="F319" s="7" t="s">
        <v>399</v>
      </c>
      <c r="G319" s="7" t="s">
        <v>350</v>
      </c>
      <c r="H319" s="7" t="s">
        <v>120</v>
      </c>
      <c r="I319" s="7" t="n">
        <v>0</v>
      </c>
      <c r="J319" s="8" t="n">
        <v>0</v>
      </c>
      <c r="K319" s="8" t="n">
        <v>0</v>
      </c>
      <c r="L319" s="8" t="n">
        <v>0</v>
      </c>
      <c r="M319" s="7" t="s">
        <v>38</v>
      </c>
      <c r="N319" s="7" t="s">
        <v>304</v>
      </c>
      <c r="O319" s="7" t="s">
        <v>307</v>
      </c>
      <c r="P319" s="9"/>
      <c r="Q319" s="9"/>
      <c r="R319" s="7" t="str">
        <f aca="false">IF(P319="",N319,P319)</f>
        <v>regra sem propriedade</v>
      </c>
      <c r="S319" s="7" t="str">
        <f aca="false">IF(P319="","",IF(P319=N319,"sim","não"))</f>
        <v/>
      </c>
      <c r="T319" s="10" t="s">
        <v>538</v>
      </c>
    </row>
    <row r="320" customFormat="false" ht="23.85" hidden="false" customHeight="false" outlineLevel="0" collapsed="false">
      <c r="A320" s="7" t="n">
        <v>318</v>
      </c>
      <c r="B320" s="7" t="s">
        <v>343</v>
      </c>
      <c r="C320" s="7" t="s">
        <v>33</v>
      </c>
      <c r="D320" s="7" t="s">
        <v>398</v>
      </c>
      <c r="E320" s="7" t="n">
        <v>37</v>
      </c>
      <c r="F320" s="7" t="s">
        <v>399</v>
      </c>
      <c r="G320" s="7" t="s">
        <v>358</v>
      </c>
      <c r="H320" s="7" t="s">
        <v>120</v>
      </c>
      <c r="I320" s="7" t="n">
        <v>0</v>
      </c>
      <c r="J320" s="8" t="n">
        <v>0</v>
      </c>
      <c r="K320" s="8" t="n">
        <v>0</v>
      </c>
      <c r="L320" s="8" t="n">
        <v>0</v>
      </c>
      <c r="M320" s="7" t="s">
        <v>38</v>
      </c>
      <c r="N320" s="7" t="s">
        <v>304</v>
      </c>
      <c r="O320" s="7" t="s">
        <v>307</v>
      </c>
      <c r="P320" s="9"/>
      <c r="Q320" s="9"/>
      <c r="R320" s="7" t="str">
        <f aca="false">IF(P320="",N320,P320)</f>
        <v>regra sem propriedade</v>
      </c>
      <c r="S320" s="7" t="str">
        <f aca="false">IF(P320="","",IF(P320=N320,"sim","não"))</f>
        <v/>
      </c>
      <c r="T320" s="10" t="s">
        <v>539</v>
      </c>
    </row>
    <row r="321" customFormat="false" ht="23.85" hidden="false" customHeight="false" outlineLevel="0" collapsed="false">
      <c r="A321" s="7" t="n">
        <v>319</v>
      </c>
      <c r="B321" s="7" t="s">
        <v>343</v>
      </c>
      <c r="C321" s="7" t="s">
        <v>33</v>
      </c>
      <c r="D321" s="7" t="s">
        <v>398</v>
      </c>
      <c r="E321" s="7" t="n">
        <v>37</v>
      </c>
      <c r="F321" s="7" t="s">
        <v>399</v>
      </c>
      <c r="G321" s="7" t="s">
        <v>358</v>
      </c>
      <c r="H321" s="7" t="s">
        <v>120</v>
      </c>
      <c r="I321" s="7" t="n">
        <v>0</v>
      </c>
      <c r="J321" s="8" t="n">
        <v>0</v>
      </c>
      <c r="K321" s="8" t="n">
        <v>0</v>
      </c>
      <c r="L321" s="8" t="n">
        <v>0</v>
      </c>
      <c r="M321" s="7" t="s">
        <v>38</v>
      </c>
      <c r="N321" s="7" t="s">
        <v>304</v>
      </c>
      <c r="O321" s="7" t="s">
        <v>307</v>
      </c>
      <c r="P321" s="9"/>
      <c r="Q321" s="9"/>
      <c r="R321" s="7" t="str">
        <f aca="false">IF(P321="",N321,P321)</f>
        <v>regra sem propriedade</v>
      </c>
      <c r="S321" s="7" t="str">
        <f aca="false">IF(P321="","",IF(P321=N321,"sim","não"))</f>
        <v/>
      </c>
      <c r="T321" s="10" t="s">
        <v>400</v>
      </c>
    </row>
    <row r="322" customFormat="false" ht="23.85" hidden="false" customHeight="false" outlineLevel="0" collapsed="false">
      <c r="A322" s="7" t="n">
        <v>320</v>
      </c>
      <c r="B322" s="7" t="s">
        <v>343</v>
      </c>
      <c r="C322" s="7" t="s">
        <v>33</v>
      </c>
      <c r="D322" s="7" t="s">
        <v>398</v>
      </c>
      <c r="E322" s="7" t="n">
        <v>37</v>
      </c>
      <c r="F322" s="7" t="s">
        <v>399</v>
      </c>
      <c r="G322" s="7" t="s">
        <v>358</v>
      </c>
      <c r="H322" s="7" t="s">
        <v>120</v>
      </c>
      <c r="I322" s="7" t="n">
        <v>0</v>
      </c>
      <c r="J322" s="8" t="n">
        <v>0</v>
      </c>
      <c r="K322" s="8" t="n">
        <v>0</v>
      </c>
      <c r="L322" s="8" t="n">
        <v>0</v>
      </c>
      <c r="M322" s="7" t="s">
        <v>38</v>
      </c>
      <c r="N322" s="7" t="s">
        <v>304</v>
      </c>
      <c r="O322" s="7" t="s">
        <v>307</v>
      </c>
      <c r="P322" s="9"/>
      <c r="Q322" s="9"/>
      <c r="R322" s="7" t="str">
        <f aca="false">IF(P322="",N322,P322)</f>
        <v>regra sem propriedade</v>
      </c>
      <c r="S322" s="7" t="str">
        <f aca="false">IF(P322="","",IF(P322=N322,"sim","não"))</f>
        <v/>
      </c>
      <c r="T322" s="10" t="s">
        <v>401</v>
      </c>
    </row>
    <row r="323" customFormat="false" ht="23.85" hidden="false" customHeight="false" outlineLevel="0" collapsed="false">
      <c r="A323" s="7" t="n">
        <v>321</v>
      </c>
      <c r="B323" s="7" t="s">
        <v>343</v>
      </c>
      <c r="C323" s="7" t="s">
        <v>33</v>
      </c>
      <c r="D323" s="7" t="s">
        <v>398</v>
      </c>
      <c r="E323" s="7" t="n">
        <v>37</v>
      </c>
      <c r="F323" s="7" t="s">
        <v>399</v>
      </c>
      <c r="G323" s="7" t="s">
        <v>358</v>
      </c>
      <c r="H323" s="7" t="s">
        <v>120</v>
      </c>
      <c r="I323" s="7" t="n">
        <v>0</v>
      </c>
      <c r="J323" s="8" t="n">
        <v>0</v>
      </c>
      <c r="K323" s="8" t="n">
        <v>0</v>
      </c>
      <c r="L323" s="8" t="n">
        <v>0</v>
      </c>
      <c r="M323" s="7" t="s">
        <v>38</v>
      </c>
      <c r="N323" s="7" t="s">
        <v>304</v>
      </c>
      <c r="O323" s="7" t="s">
        <v>307</v>
      </c>
      <c r="P323" s="9"/>
      <c r="Q323" s="9"/>
      <c r="R323" s="7" t="str">
        <f aca="false">IF(P323="",N323,P323)</f>
        <v>regra sem propriedade</v>
      </c>
      <c r="S323" s="7" t="str">
        <f aca="false">IF(P323="","",IF(P323=N323,"sim","não"))</f>
        <v/>
      </c>
      <c r="T323" s="10" t="s">
        <v>540</v>
      </c>
    </row>
    <row r="324" customFormat="false" ht="23.85" hidden="false" customHeight="false" outlineLevel="0" collapsed="false">
      <c r="A324" s="7" t="n">
        <v>322</v>
      </c>
      <c r="B324" s="7" t="s">
        <v>343</v>
      </c>
      <c r="C324" s="7" t="s">
        <v>33</v>
      </c>
      <c r="D324" s="7" t="s">
        <v>398</v>
      </c>
      <c r="E324" s="7" t="n">
        <v>37</v>
      </c>
      <c r="F324" s="7" t="s">
        <v>399</v>
      </c>
      <c r="G324" s="7" t="s">
        <v>358</v>
      </c>
      <c r="H324" s="7" t="s">
        <v>120</v>
      </c>
      <c r="I324" s="7" t="n">
        <v>0</v>
      </c>
      <c r="J324" s="8" t="n">
        <v>0</v>
      </c>
      <c r="K324" s="8" t="n">
        <v>0</v>
      </c>
      <c r="L324" s="8" t="n">
        <v>0</v>
      </c>
      <c r="M324" s="7" t="s">
        <v>38</v>
      </c>
      <c r="N324" s="7" t="s">
        <v>304</v>
      </c>
      <c r="O324" s="7" t="s">
        <v>307</v>
      </c>
      <c r="P324" s="9"/>
      <c r="Q324" s="9"/>
      <c r="R324" s="7" t="str">
        <f aca="false">IF(P324="",N324,P324)</f>
        <v>regra sem propriedade</v>
      </c>
      <c r="S324" s="7" t="str">
        <f aca="false">IF(P324="","",IF(P324=N324,"sim","não"))</f>
        <v/>
      </c>
      <c r="T324" s="10" t="s">
        <v>541</v>
      </c>
    </row>
    <row r="325" customFormat="false" ht="23.85" hidden="false" customHeight="false" outlineLevel="0" collapsed="false">
      <c r="A325" s="7" t="n">
        <v>323</v>
      </c>
      <c r="B325" s="7" t="s">
        <v>343</v>
      </c>
      <c r="C325" s="7" t="s">
        <v>33</v>
      </c>
      <c r="D325" s="7" t="s">
        <v>398</v>
      </c>
      <c r="E325" s="7" t="n">
        <v>37</v>
      </c>
      <c r="F325" s="7" t="s">
        <v>399</v>
      </c>
      <c r="G325" s="7" t="s">
        <v>402</v>
      </c>
      <c r="H325" s="7" t="s">
        <v>120</v>
      </c>
      <c r="I325" s="7" t="n">
        <v>0</v>
      </c>
      <c r="J325" s="8" t="n">
        <v>0</v>
      </c>
      <c r="K325" s="8" t="n">
        <v>0</v>
      </c>
      <c r="L325" s="8" t="n">
        <v>0</v>
      </c>
      <c r="M325" s="7" t="s">
        <v>38</v>
      </c>
      <c r="N325" s="7" t="s">
        <v>304</v>
      </c>
      <c r="O325" s="7" t="s">
        <v>307</v>
      </c>
      <c r="P325" s="9"/>
      <c r="Q325" s="9"/>
      <c r="R325" s="7" t="str">
        <f aca="false">IF(P325="",N325,P325)</f>
        <v>regra sem propriedade</v>
      </c>
      <c r="S325" s="7" t="str">
        <f aca="false">IF(P325="","",IF(P325=N325,"sim","não"))</f>
        <v/>
      </c>
      <c r="T325" s="10" t="s">
        <v>404</v>
      </c>
    </row>
    <row r="326" customFormat="false" ht="28.35" hidden="false" customHeight="false" outlineLevel="0" collapsed="false">
      <c r="A326" s="7" t="n">
        <v>324</v>
      </c>
      <c r="B326" s="7" t="s">
        <v>343</v>
      </c>
      <c r="C326" s="7" t="s">
        <v>33</v>
      </c>
      <c r="D326" s="7" t="s">
        <v>398</v>
      </c>
      <c r="E326" s="7" t="n">
        <v>37</v>
      </c>
      <c r="F326" s="7" t="s">
        <v>399</v>
      </c>
      <c r="G326" s="7" t="s">
        <v>542</v>
      </c>
      <c r="H326" s="7" t="s">
        <v>120</v>
      </c>
      <c r="I326" s="7" t="n">
        <v>0</v>
      </c>
      <c r="J326" s="8" t="n">
        <v>0</v>
      </c>
      <c r="K326" s="8" t="n">
        <v>0</v>
      </c>
      <c r="L326" s="8" t="n">
        <v>0</v>
      </c>
      <c r="M326" s="7" t="s">
        <v>38</v>
      </c>
      <c r="N326" s="7" t="s">
        <v>304</v>
      </c>
      <c r="O326" s="7" t="s">
        <v>307</v>
      </c>
      <c r="P326" s="9"/>
      <c r="Q326" s="9"/>
      <c r="R326" s="7" t="str">
        <f aca="false">IF(P326="",N326,P326)</f>
        <v>regra sem propriedade</v>
      </c>
      <c r="S326" s="7" t="str">
        <f aca="false">IF(P326="","",IF(P326=N326,"sim","não"))</f>
        <v/>
      </c>
      <c r="T326" s="10" t="s">
        <v>543</v>
      </c>
    </row>
    <row r="327" customFormat="false" ht="28.35" hidden="false" customHeight="false" outlineLevel="0" collapsed="false">
      <c r="A327" s="7" t="n">
        <v>325</v>
      </c>
      <c r="B327" s="7" t="s">
        <v>343</v>
      </c>
      <c r="C327" s="7" t="s">
        <v>33</v>
      </c>
      <c r="D327" s="7" t="s">
        <v>398</v>
      </c>
      <c r="E327" s="7" t="n">
        <v>37</v>
      </c>
      <c r="F327" s="7" t="s">
        <v>399</v>
      </c>
      <c r="G327" s="7" t="s">
        <v>544</v>
      </c>
      <c r="H327" s="7" t="s">
        <v>120</v>
      </c>
      <c r="I327" s="7" t="n">
        <v>0</v>
      </c>
      <c r="J327" s="8" t="n">
        <v>0</v>
      </c>
      <c r="K327" s="8" t="n">
        <v>0</v>
      </c>
      <c r="L327" s="8" t="n">
        <v>0</v>
      </c>
      <c r="M327" s="7" t="s">
        <v>38</v>
      </c>
      <c r="N327" s="7" t="s">
        <v>304</v>
      </c>
      <c r="O327" s="7" t="s">
        <v>307</v>
      </c>
      <c r="P327" s="9"/>
      <c r="Q327" s="9"/>
      <c r="R327" s="7" t="str">
        <f aca="false">IF(P327="",N327,P327)</f>
        <v>regra sem propriedade</v>
      </c>
      <c r="S327" s="7" t="str">
        <f aca="false">IF(P327="","",IF(P327=N327,"sim","não"))</f>
        <v/>
      </c>
      <c r="T327" s="10" t="s">
        <v>545</v>
      </c>
    </row>
    <row r="328" customFormat="false" ht="23.85" hidden="false" customHeight="false" outlineLevel="0" collapsed="false">
      <c r="A328" s="7" t="n">
        <v>326</v>
      </c>
      <c r="B328" s="7" t="s">
        <v>343</v>
      </c>
      <c r="C328" s="7" t="s">
        <v>33</v>
      </c>
      <c r="D328" s="7" t="s">
        <v>398</v>
      </c>
      <c r="E328" s="7" t="n">
        <v>37</v>
      </c>
      <c r="F328" s="7" t="s">
        <v>399</v>
      </c>
      <c r="G328" s="7" t="s">
        <v>405</v>
      </c>
      <c r="H328" s="7" t="s">
        <v>120</v>
      </c>
      <c r="I328" s="7" t="n">
        <v>0</v>
      </c>
      <c r="J328" s="8" t="n">
        <v>0</v>
      </c>
      <c r="K328" s="8" t="n">
        <v>0</v>
      </c>
      <c r="L328" s="8" t="n">
        <v>0</v>
      </c>
      <c r="M328" s="7" t="s">
        <v>38</v>
      </c>
      <c r="N328" s="7" t="s">
        <v>304</v>
      </c>
      <c r="O328" s="7" t="s">
        <v>307</v>
      </c>
      <c r="P328" s="9"/>
      <c r="Q328" s="9"/>
      <c r="R328" s="7" t="str">
        <f aca="false">IF(P328="",N328,P328)</f>
        <v>regra sem propriedade</v>
      </c>
      <c r="S328" s="7" t="str">
        <f aca="false">IF(P328="","",IF(P328=N328,"sim","não"))</f>
        <v/>
      </c>
      <c r="T328" s="10" t="s">
        <v>406</v>
      </c>
    </row>
    <row r="329" customFormat="false" ht="23.85" hidden="false" customHeight="false" outlineLevel="0" collapsed="false">
      <c r="A329" s="7" t="n">
        <v>327</v>
      </c>
      <c r="B329" s="7" t="s">
        <v>343</v>
      </c>
      <c r="C329" s="7" t="s">
        <v>33</v>
      </c>
      <c r="D329" s="7" t="s">
        <v>398</v>
      </c>
      <c r="E329" s="7" t="n">
        <v>37</v>
      </c>
      <c r="F329" s="7" t="s">
        <v>399</v>
      </c>
      <c r="G329" s="7" t="s">
        <v>546</v>
      </c>
      <c r="H329" s="7" t="s">
        <v>120</v>
      </c>
      <c r="I329" s="7" t="n">
        <v>0</v>
      </c>
      <c r="J329" s="8" t="n">
        <v>0</v>
      </c>
      <c r="K329" s="8" t="n">
        <v>0</v>
      </c>
      <c r="L329" s="8" t="n">
        <v>0</v>
      </c>
      <c r="M329" s="7" t="s">
        <v>38</v>
      </c>
      <c r="N329" s="7" t="s">
        <v>304</v>
      </c>
      <c r="O329" s="7" t="s">
        <v>307</v>
      </c>
      <c r="P329" s="9"/>
      <c r="Q329" s="9"/>
      <c r="R329" s="7" t="str">
        <f aca="false">IF(P329="",N329,P329)</f>
        <v>regra sem propriedade</v>
      </c>
      <c r="S329" s="7" t="str">
        <f aca="false">IF(P329="","",IF(P329=N329,"sim","não"))</f>
        <v/>
      </c>
      <c r="T329" s="10" t="s">
        <v>547</v>
      </c>
    </row>
    <row r="330" customFormat="false" ht="23.85" hidden="false" customHeight="false" outlineLevel="0" collapsed="false">
      <c r="A330" s="7" t="n">
        <v>328</v>
      </c>
      <c r="B330" s="7" t="s">
        <v>343</v>
      </c>
      <c r="C330" s="7" t="s">
        <v>33</v>
      </c>
      <c r="D330" s="7" t="s">
        <v>398</v>
      </c>
      <c r="E330" s="7" t="n">
        <v>38</v>
      </c>
      <c r="F330" s="7" t="s">
        <v>548</v>
      </c>
      <c r="G330" s="7" t="s">
        <v>392</v>
      </c>
      <c r="H330" s="7" t="s">
        <v>120</v>
      </c>
      <c r="I330" s="7" t="n">
        <v>0</v>
      </c>
      <c r="J330" s="8" t="n">
        <v>0</v>
      </c>
      <c r="K330" s="8" t="n">
        <v>0</v>
      </c>
      <c r="L330" s="8" t="n">
        <v>0</v>
      </c>
      <c r="M330" s="7" t="s">
        <v>38</v>
      </c>
      <c r="N330" s="7" t="s">
        <v>304</v>
      </c>
      <c r="O330" s="7" t="s">
        <v>307</v>
      </c>
      <c r="P330" s="9"/>
      <c r="Q330" s="9"/>
      <c r="R330" s="7" t="str">
        <f aca="false">IF(P330="",N330,P330)</f>
        <v>regra sem propriedade</v>
      </c>
      <c r="S330" s="7" t="str">
        <f aca="false">IF(P330="","",IF(P330=N330,"sim","não"))</f>
        <v/>
      </c>
      <c r="T330" s="10" t="s">
        <v>549</v>
      </c>
    </row>
    <row r="331" customFormat="false" ht="23.85" hidden="false" customHeight="false" outlineLevel="0" collapsed="false">
      <c r="A331" s="7" t="n">
        <v>329</v>
      </c>
      <c r="B331" s="7" t="s">
        <v>343</v>
      </c>
      <c r="C331" s="7" t="s">
        <v>33</v>
      </c>
      <c r="D331" s="7" t="s">
        <v>398</v>
      </c>
      <c r="E331" s="7" t="n">
        <v>47</v>
      </c>
      <c r="F331" s="7" t="s">
        <v>550</v>
      </c>
      <c r="G331" s="7" t="s">
        <v>350</v>
      </c>
      <c r="H331" s="7" t="s">
        <v>147</v>
      </c>
      <c r="I331" s="7" t="n">
        <v>0</v>
      </c>
      <c r="J331" s="8" t="n">
        <v>0</v>
      </c>
      <c r="K331" s="8" t="n">
        <v>0</v>
      </c>
      <c r="L331" s="8" t="n">
        <v>0</v>
      </c>
      <c r="M331" s="7" t="s">
        <v>38</v>
      </c>
      <c r="N331" s="7" t="s">
        <v>304</v>
      </c>
      <c r="O331" s="7" t="s">
        <v>318</v>
      </c>
      <c r="P331" s="9"/>
      <c r="Q331" s="9"/>
      <c r="R331" s="7" t="str">
        <f aca="false">IF(P331="",N331,P331)</f>
        <v>regra sem propriedade</v>
      </c>
      <c r="S331" s="7" t="str">
        <f aca="false">IF(P331="","",IF(P331=N331,"sim","não"))</f>
        <v/>
      </c>
      <c r="T331" s="10" t="s">
        <v>551</v>
      </c>
    </row>
    <row r="332" customFormat="false" ht="23.85" hidden="false" customHeight="false" outlineLevel="0" collapsed="false">
      <c r="A332" s="7" t="n">
        <v>330</v>
      </c>
      <c r="B332" s="7" t="s">
        <v>343</v>
      </c>
      <c r="C332" s="7" t="s">
        <v>33</v>
      </c>
      <c r="D332" s="7" t="s">
        <v>398</v>
      </c>
      <c r="E332" s="7" t="n">
        <v>47</v>
      </c>
      <c r="F332" s="7" t="s">
        <v>550</v>
      </c>
      <c r="G332" s="7" t="s">
        <v>358</v>
      </c>
      <c r="H332" s="7" t="s">
        <v>147</v>
      </c>
      <c r="I332" s="7" t="n">
        <v>0</v>
      </c>
      <c r="J332" s="8" t="n">
        <v>0</v>
      </c>
      <c r="K332" s="8" t="n">
        <v>0</v>
      </c>
      <c r="L332" s="8" t="n">
        <v>0</v>
      </c>
      <c r="M332" s="7" t="s">
        <v>38</v>
      </c>
      <c r="N332" s="7" t="s">
        <v>304</v>
      </c>
      <c r="O332" s="7" t="s">
        <v>318</v>
      </c>
      <c r="P332" s="9"/>
      <c r="Q332" s="9"/>
      <c r="R332" s="7" t="str">
        <f aca="false">IF(P332="",N332,P332)</f>
        <v>regra sem propriedade</v>
      </c>
      <c r="S332" s="7" t="str">
        <f aca="false">IF(P332="","",IF(P332=N332,"sim","não"))</f>
        <v/>
      </c>
      <c r="T332" s="10" t="s">
        <v>552</v>
      </c>
    </row>
    <row r="333" customFormat="false" ht="23.85" hidden="false" customHeight="false" outlineLevel="0" collapsed="false">
      <c r="A333" s="7" t="n">
        <v>331</v>
      </c>
      <c r="B333" s="7" t="s">
        <v>343</v>
      </c>
      <c r="C333" s="7" t="s">
        <v>33</v>
      </c>
      <c r="D333" s="7" t="s">
        <v>398</v>
      </c>
      <c r="E333" s="7" t="n">
        <v>48</v>
      </c>
      <c r="F333" s="7" t="s">
        <v>553</v>
      </c>
      <c r="G333" s="7" t="s">
        <v>392</v>
      </c>
      <c r="H333" s="7" t="s">
        <v>147</v>
      </c>
      <c r="I333" s="7" t="n">
        <v>0</v>
      </c>
      <c r="J333" s="8" t="n">
        <v>0</v>
      </c>
      <c r="K333" s="8" t="n">
        <v>0</v>
      </c>
      <c r="L333" s="8" t="n">
        <v>0</v>
      </c>
      <c r="M333" s="7" t="s">
        <v>38</v>
      </c>
      <c r="N333" s="7" t="s">
        <v>304</v>
      </c>
      <c r="O333" s="7" t="s">
        <v>318</v>
      </c>
      <c r="P333" s="9"/>
      <c r="Q333" s="9"/>
      <c r="R333" s="7" t="str">
        <f aca="false">IF(P333="",N333,P333)</f>
        <v>regra sem propriedade</v>
      </c>
      <c r="S333" s="7" t="str">
        <f aca="false">IF(P333="","",IF(P333=N333,"sim","não"))</f>
        <v/>
      </c>
      <c r="T333" s="10" t="s">
        <v>554</v>
      </c>
    </row>
    <row r="334" customFormat="false" ht="23.85" hidden="false" customHeight="false" outlineLevel="0" collapsed="false">
      <c r="A334" s="7" t="n">
        <v>332</v>
      </c>
      <c r="B334" s="7" t="s">
        <v>343</v>
      </c>
      <c r="C334" s="7" t="s">
        <v>33</v>
      </c>
      <c r="D334" s="7" t="s">
        <v>398</v>
      </c>
      <c r="E334" s="7" t="n">
        <v>53</v>
      </c>
      <c r="F334" s="7" t="s">
        <v>555</v>
      </c>
      <c r="G334" s="7" t="s">
        <v>350</v>
      </c>
      <c r="H334" s="7" t="s">
        <v>233</v>
      </c>
      <c r="I334" s="7" t="n">
        <v>0</v>
      </c>
      <c r="J334" s="8" t="n">
        <v>0</v>
      </c>
      <c r="K334" s="8" t="n">
        <v>0</v>
      </c>
      <c r="L334" s="8" t="n">
        <v>0</v>
      </c>
      <c r="M334" s="7" t="s">
        <v>38</v>
      </c>
      <c r="N334" s="7" t="s">
        <v>304</v>
      </c>
      <c r="O334" s="7" t="s">
        <v>322</v>
      </c>
      <c r="P334" s="9"/>
      <c r="Q334" s="9"/>
      <c r="R334" s="7" t="str">
        <f aca="false">IF(P334="",N334,P334)</f>
        <v>regra sem propriedade</v>
      </c>
      <c r="S334" s="7" t="str">
        <f aca="false">IF(P334="","",IF(P334=N334,"sim","não"))</f>
        <v/>
      </c>
      <c r="T334" s="10" t="s">
        <v>556</v>
      </c>
    </row>
    <row r="335" customFormat="false" ht="23.85" hidden="false" customHeight="false" outlineLevel="0" collapsed="false">
      <c r="A335" s="7" t="n">
        <v>333</v>
      </c>
      <c r="B335" s="7" t="s">
        <v>343</v>
      </c>
      <c r="C335" s="7" t="s">
        <v>33</v>
      </c>
      <c r="D335" s="7" t="s">
        <v>398</v>
      </c>
      <c r="E335" s="7" t="n">
        <v>64</v>
      </c>
      <c r="F335" s="7" t="s">
        <v>128</v>
      </c>
      <c r="G335" s="7" t="s">
        <v>350</v>
      </c>
      <c r="H335" s="7" t="s">
        <v>129</v>
      </c>
      <c r="I335" s="7" t="n">
        <v>0</v>
      </c>
      <c r="J335" s="8" t="n">
        <v>0</v>
      </c>
      <c r="K335" s="8" t="n">
        <v>0</v>
      </c>
      <c r="L335" s="8" t="n">
        <v>0</v>
      </c>
      <c r="M335" s="7" t="s">
        <v>38</v>
      </c>
      <c r="N335" s="7" t="s">
        <v>304</v>
      </c>
      <c r="O335" s="7" t="s">
        <v>325</v>
      </c>
      <c r="P335" s="9"/>
      <c r="Q335" s="9"/>
      <c r="R335" s="7" t="str">
        <f aca="false">IF(P335="",N335,P335)</f>
        <v>regra sem propriedade</v>
      </c>
      <c r="S335" s="7" t="str">
        <f aca="false">IF(P335="","",IF(P335=N335,"sim","não"))</f>
        <v/>
      </c>
      <c r="T335" s="10" t="s">
        <v>557</v>
      </c>
    </row>
    <row r="336" customFormat="false" ht="23.85" hidden="false" customHeight="false" outlineLevel="0" collapsed="false">
      <c r="A336" s="7" t="n">
        <v>334</v>
      </c>
      <c r="B336" s="7" t="s">
        <v>343</v>
      </c>
      <c r="C336" s="7" t="s">
        <v>33</v>
      </c>
      <c r="D336" s="7" t="s">
        <v>398</v>
      </c>
      <c r="E336" s="7" t="n">
        <v>64</v>
      </c>
      <c r="F336" s="7" t="s">
        <v>128</v>
      </c>
      <c r="G336" s="7" t="s">
        <v>358</v>
      </c>
      <c r="H336" s="7" t="s">
        <v>129</v>
      </c>
      <c r="I336" s="7" t="n">
        <v>0</v>
      </c>
      <c r="J336" s="8" t="n">
        <v>0</v>
      </c>
      <c r="K336" s="8" t="n">
        <v>0</v>
      </c>
      <c r="L336" s="8" t="n">
        <v>0</v>
      </c>
      <c r="M336" s="7" t="s">
        <v>38</v>
      </c>
      <c r="N336" s="7" t="s">
        <v>304</v>
      </c>
      <c r="O336" s="7" t="s">
        <v>325</v>
      </c>
      <c r="P336" s="9"/>
      <c r="Q336" s="9"/>
      <c r="R336" s="7" t="str">
        <f aca="false">IF(P336="",N336,P336)</f>
        <v>regra sem propriedade</v>
      </c>
      <c r="S336" s="7" t="str">
        <f aca="false">IF(P336="","",IF(P336=N336,"sim","não"))</f>
        <v/>
      </c>
      <c r="T336" s="10" t="s">
        <v>407</v>
      </c>
    </row>
    <row r="337" customFormat="false" ht="23.85" hidden="false" customHeight="false" outlineLevel="0" collapsed="false">
      <c r="A337" s="7" t="n">
        <v>335</v>
      </c>
      <c r="B337" s="7" t="s">
        <v>343</v>
      </c>
      <c r="C337" s="7" t="s">
        <v>33</v>
      </c>
      <c r="D337" s="7" t="s">
        <v>398</v>
      </c>
      <c r="E337" s="7" t="n">
        <v>64</v>
      </c>
      <c r="F337" s="7" t="s">
        <v>128</v>
      </c>
      <c r="G337" s="7" t="s">
        <v>358</v>
      </c>
      <c r="H337" s="7" t="s">
        <v>129</v>
      </c>
      <c r="I337" s="7" t="n">
        <v>0</v>
      </c>
      <c r="J337" s="8" t="n">
        <v>0</v>
      </c>
      <c r="K337" s="8" t="n">
        <v>0</v>
      </c>
      <c r="L337" s="8" t="n">
        <v>0</v>
      </c>
      <c r="M337" s="7" t="s">
        <v>38</v>
      </c>
      <c r="N337" s="7" t="s">
        <v>304</v>
      </c>
      <c r="O337" s="7" t="s">
        <v>325</v>
      </c>
      <c r="P337" s="9"/>
      <c r="Q337" s="9"/>
      <c r="R337" s="7" t="str">
        <f aca="false">IF(P337="",N337,P337)</f>
        <v>regra sem propriedade</v>
      </c>
      <c r="S337" s="7" t="str">
        <f aca="false">IF(P337="","",IF(P337=N337,"sim","não"))</f>
        <v/>
      </c>
      <c r="T337" s="10" t="s">
        <v>408</v>
      </c>
    </row>
    <row r="338" customFormat="false" ht="23.85" hidden="false" customHeight="false" outlineLevel="0" collapsed="false">
      <c r="A338" s="7" t="n">
        <v>336</v>
      </c>
      <c r="B338" s="7" t="s">
        <v>343</v>
      </c>
      <c r="C338" s="7" t="s">
        <v>33</v>
      </c>
      <c r="D338" s="7" t="s">
        <v>398</v>
      </c>
      <c r="E338" s="7" t="n">
        <v>64</v>
      </c>
      <c r="F338" s="7" t="s">
        <v>128</v>
      </c>
      <c r="G338" s="7" t="s">
        <v>358</v>
      </c>
      <c r="H338" s="7" t="s">
        <v>129</v>
      </c>
      <c r="I338" s="7" t="n">
        <v>0</v>
      </c>
      <c r="J338" s="8" t="n">
        <v>0</v>
      </c>
      <c r="K338" s="8" t="n">
        <v>0</v>
      </c>
      <c r="L338" s="8" t="n">
        <v>0</v>
      </c>
      <c r="M338" s="7" t="s">
        <v>38</v>
      </c>
      <c r="N338" s="7" t="s">
        <v>304</v>
      </c>
      <c r="O338" s="7" t="s">
        <v>325</v>
      </c>
      <c r="P338" s="9"/>
      <c r="Q338" s="9"/>
      <c r="R338" s="7" t="str">
        <f aca="false">IF(P338="",N338,P338)</f>
        <v>regra sem propriedade</v>
      </c>
      <c r="S338" s="7" t="str">
        <f aca="false">IF(P338="","",IF(P338=N338,"sim","não"))</f>
        <v/>
      </c>
      <c r="T338" s="10" t="s">
        <v>558</v>
      </c>
    </row>
    <row r="339" customFormat="false" ht="28.35" hidden="false" customHeight="false" outlineLevel="0" collapsed="false">
      <c r="A339" s="7" t="n">
        <v>337</v>
      </c>
      <c r="B339" s="7" t="s">
        <v>343</v>
      </c>
      <c r="C339" s="7" t="s">
        <v>33</v>
      </c>
      <c r="D339" s="7" t="s">
        <v>398</v>
      </c>
      <c r="E339" s="7" t="n">
        <v>64</v>
      </c>
      <c r="F339" s="7" t="s">
        <v>128</v>
      </c>
      <c r="G339" s="7" t="s">
        <v>409</v>
      </c>
      <c r="H339" s="7" t="s">
        <v>129</v>
      </c>
      <c r="I339" s="7" t="n">
        <v>0</v>
      </c>
      <c r="J339" s="8" t="n">
        <v>0</v>
      </c>
      <c r="K339" s="8" t="n">
        <v>0</v>
      </c>
      <c r="L339" s="8" t="n">
        <v>0</v>
      </c>
      <c r="M339" s="7" t="s">
        <v>38</v>
      </c>
      <c r="N339" s="7" t="s">
        <v>304</v>
      </c>
      <c r="O339" s="7" t="s">
        <v>325</v>
      </c>
      <c r="P339" s="9"/>
      <c r="Q339" s="9"/>
      <c r="R339" s="7" t="str">
        <f aca="false">IF(P339="",N339,P339)</f>
        <v>regra sem propriedade</v>
      </c>
      <c r="S339" s="7" t="str">
        <f aca="false">IF(P339="","",IF(P339=N339,"sim","não"))</f>
        <v/>
      </c>
      <c r="T339" s="10" t="s">
        <v>410</v>
      </c>
    </row>
    <row r="340" customFormat="false" ht="28.35" hidden="false" customHeight="false" outlineLevel="0" collapsed="false">
      <c r="A340" s="7" t="n">
        <v>338</v>
      </c>
      <c r="B340" s="7" t="s">
        <v>343</v>
      </c>
      <c r="C340" s="7" t="s">
        <v>33</v>
      </c>
      <c r="D340" s="7" t="s">
        <v>398</v>
      </c>
      <c r="E340" s="7" t="n">
        <v>64</v>
      </c>
      <c r="F340" s="7" t="s">
        <v>128</v>
      </c>
      <c r="G340" s="7" t="s">
        <v>559</v>
      </c>
      <c r="H340" s="7" t="s">
        <v>129</v>
      </c>
      <c r="I340" s="7" t="n">
        <v>0</v>
      </c>
      <c r="J340" s="8" t="n">
        <v>0</v>
      </c>
      <c r="K340" s="8" t="n">
        <v>0</v>
      </c>
      <c r="L340" s="8" t="n">
        <v>0</v>
      </c>
      <c r="M340" s="7" t="s">
        <v>38</v>
      </c>
      <c r="N340" s="7" t="s">
        <v>304</v>
      </c>
      <c r="O340" s="7" t="s">
        <v>325</v>
      </c>
      <c r="P340" s="9"/>
      <c r="Q340" s="9"/>
      <c r="R340" s="7" t="str">
        <f aca="false">IF(P340="",N340,P340)</f>
        <v>regra sem propriedade</v>
      </c>
      <c r="S340" s="7" t="str">
        <f aca="false">IF(P340="","",IF(P340=N340,"sim","não"))</f>
        <v/>
      </c>
      <c r="T340" s="10" t="s">
        <v>560</v>
      </c>
    </row>
    <row r="341" customFormat="false" ht="23.85" hidden="false" customHeight="false" outlineLevel="0" collapsed="false">
      <c r="A341" s="7" t="n">
        <v>339</v>
      </c>
      <c r="B341" s="7" t="s">
        <v>343</v>
      </c>
      <c r="C341" s="7" t="s">
        <v>33</v>
      </c>
      <c r="D341" s="7" t="s">
        <v>398</v>
      </c>
      <c r="E341" s="7" t="n">
        <v>65</v>
      </c>
      <c r="F341" s="7" t="s">
        <v>548</v>
      </c>
      <c r="G341" s="7" t="s">
        <v>392</v>
      </c>
      <c r="H341" s="7" t="s">
        <v>129</v>
      </c>
      <c r="I341" s="7" t="n">
        <v>0</v>
      </c>
      <c r="J341" s="8" t="n">
        <v>0</v>
      </c>
      <c r="K341" s="8" t="n">
        <v>0</v>
      </c>
      <c r="L341" s="8" t="n">
        <v>0</v>
      </c>
      <c r="M341" s="7" t="s">
        <v>38</v>
      </c>
      <c r="N341" s="7" t="s">
        <v>304</v>
      </c>
      <c r="O341" s="7" t="s">
        <v>325</v>
      </c>
      <c r="P341" s="9"/>
      <c r="Q341" s="9"/>
      <c r="R341" s="7" t="str">
        <f aca="false">IF(P341="",N341,P341)</f>
        <v>regra sem propriedade</v>
      </c>
      <c r="S341" s="7" t="str">
        <f aca="false">IF(P341="","",IF(P341=N341,"sim","não"))</f>
        <v/>
      </c>
      <c r="T341" s="10" t="s">
        <v>561</v>
      </c>
    </row>
    <row r="342" customFormat="false" ht="23.85" hidden="false" customHeight="false" outlineLevel="0" collapsed="false">
      <c r="A342" s="7" t="n">
        <v>340</v>
      </c>
      <c r="B342" s="7" t="s">
        <v>343</v>
      </c>
      <c r="C342" s="7" t="s">
        <v>33</v>
      </c>
      <c r="D342" s="7" t="s">
        <v>398</v>
      </c>
      <c r="E342" s="7" t="n">
        <v>68</v>
      </c>
      <c r="F342" s="7" t="s">
        <v>413</v>
      </c>
      <c r="G342" s="7" t="s">
        <v>350</v>
      </c>
      <c r="H342" s="7" t="s">
        <v>133</v>
      </c>
      <c r="I342" s="7" t="n">
        <v>0</v>
      </c>
      <c r="J342" s="8" t="n">
        <v>0</v>
      </c>
      <c r="K342" s="8" t="n">
        <v>0</v>
      </c>
      <c r="L342" s="8" t="n">
        <v>0</v>
      </c>
      <c r="M342" s="7" t="s">
        <v>38</v>
      </c>
      <c r="N342" s="7" t="s">
        <v>304</v>
      </c>
      <c r="O342" s="7" t="s">
        <v>327</v>
      </c>
      <c r="P342" s="9"/>
      <c r="Q342" s="9"/>
      <c r="R342" s="7" t="str">
        <f aca="false">IF(P342="",N342,P342)</f>
        <v>regra sem propriedade</v>
      </c>
      <c r="S342" s="7" t="str">
        <f aca="false">IF(P342="","",IF(P342=N342,"sim","não"))</f>
        <v/>
      </c>
      <c r="T342" s="10" t="s">
        <v>414</v>
      </c>
    </row>
    <row r="343" customFormat="false" ht="23.85" hidden="false" customHeight="false" outlineLevel="0" collapsed="false">
      <c r="A343" s="7" t="n">
        <v>341</v>
      </c>
      <c r="B343" s="7" t="s">
        <v>343</v>
      </c>
      <c r="C343" s="7" t="s">
        <v>33</v>
      </c>
      <c r="D343" s="7" t="s">
        <v>398</v>
      </c>
      <c r="E343" s="7" t="n">
        <v>69</v>
      </c>
      <c r="F343" s="7" t="s">
        <v>415</v>
      </c>
      <c r="G343" s="7" t="s">
        <v>350</v>
      </c>
      <c r="H343" s="7" t="s">
        <v>133</v>
      </c>
      <c r="I343" s="7" t="n">
        <v>0</v>
      </c>
      <c r="J343" s="8" t="n">
        <v>0</v>
      </c>
      <c r="K343" s="8" t="n">
        <v>0</v>
      </c>
      <c r="L343" s="8" t="n">
        <v>0</v>
      </c>
      <c r="M343" s="7" t="s">
        <v>38</v>
      </c>
      <c r="N343" s="7" t="s">
        <v>304</v>
      </c>
      <c r="O343" s="7" t="s">
        <v>327</v>
      </c>
      <c r="P343" s="9"/>
      <c r="Q343" s="9"/>
      <c r="R343" s="7" t="str">
        <f aca="false">IF(P343="",N343,P343)</f>
        <v>regra sem propriedade</v>
      </c>
      <c r="S343" s="7" t="str">
        <f aca="false">IF(P343="","",IF(P343=N343,"sim","não"))</f>
        <v/>
      </c>
      <c r="T343" s="10" t="s">
        <v>416</v>
      </c>
    </row>
    <row r="344" customFormat="false" ht="23.85" hidden="false" customHeight="false" outlineLevel="0" collapsed="false">
      <c r="A344" s="7" t="n">
        <v>342</v>
      </c>
      <c r="B344" s="7" t="s">
        <v>343</v>
      </c>
      <c r="C344" s="7" t="s">
        <v>33</v>
      </c>
      <c r="D344" s="7" t="s">
        <v>398</v>
      </c>
      <c r="E344" s="7" t="n">
        <v>69</v>
      </c>
      <c r="F344" s="7" t="s">
        <v>415</v>
      </c>
      <c r="G344" s="7" t="s">
        <v>358</v>
      </c>
      <c r="H344" s="7" t="s">
        <v>133</v>
      </c>
      <c r="I344" s="7" t="n">
        <v>0</v>
      </c>
      <c r="J344" s="8" t="n">
        <v>0</v>
      </c>
      <c r="K344" s="8" t="n">
        <v>0</v>
      </c>
      <c r="L344" s="8" t="n">
        <v>0</v>
      </c>
      <c r="M344" s="7" t="s">
        <v>38</v>
      </c>
      <c r="N344" s="7" t="s">
        <v>304</v>
      </c>
      <c r="O344" s="7" t="s">
        <v>327</v>
      </c>
      <c r="P344" s="9"/>
      <c r="Q344" s="9"/>
      <c r="R344" s="7" t="str">
        <f aca="false">IF(P344="",N344,P344)</f>
        <v>regra sem propriedade</v>
      </c>
      <c r="S344" s="7" t="str">
        <f aca="false">IF(P344="","",IF(P344=N344,"sim","não"))</f>
        <v/>
      </c>
      <c r="T344" s="10" t="s">
        <v>417</v>
      </c>
    </row>
    <row r="345" customFormat="false" ht="23.85" hidden="false" customHeight="false" outlineLevel="0" collapsed="false">
      <c r="A345" s="7" t="n">
        <v>343</v>
      </c>
      <c r="B345" s="7" t="s">
        <v>343</v>
      </c>
      <c r="C345" s="7" t="s">
        <v>33</v>
      </c>
      <c r="D345" s="7" t="s">
        <v>398</v>
      </c>
      <c r="E345" s="7" t="n">
        <v>69</v>
      </c>
      <c r="F345" s="7" t="s">
        <v>415</v>
      </c>
      <c r="G345" s="7" t="s">
        <v>346</v>
      </c>
      <c r="H345" s="7" t="s">
        <v>133</v>
      </c>
      <c r="I345" s="7" t="n">
        <v>0</v>
      </c>
      <c r="J345" s="8" t="n">
        <v>0</v>
      </c>
      <c r="K345" s="8" t="n">
        <v>0</v>
      </c>
      <c r="L345" s="8" t="n">
        <v>0</v>
      </c>
      <c r="M345" s="7" t="s">
        <v>38</v>
      </c>
      <c r="N345" s="7" t="s">
        <v>304</v>
      </c>
      <c r="O345" s="7" t="s">
        <v>327</v>
      </c>
      <c r="P345" s="9"/>
      <c r="Q345" s="9"/>
      <c r="R345" s="7" t="str">
        <f aca="false">IF(P345="",N345,P345)</f>
        <v>regra sem propriedade</v>
      </c>
      <c r="S345" s="7" t="str">
        <f aca="false">IF(P345="","",IF(P345=N345,"sim","não"))</f>
        <v/>
      </c>
      <c r="T345" s="10" t="s">
        <v>418</v>
      </c>
    </row>
    <row r="346" customFormat="false" ht="28.35" hidden="false" customHeight="false" outlineLevel="0" collapsed="false">
      <c r="A346" s="7" t="n">
        <v>344</v>
      </c>
      <c r="B346" s="7" t="s">
        <v>343</v>
      </c>
      <c r="C346" s="7" t="s">
        <v>33</v>
      </c>
      <c r="D346" s="7" t="s">
        <v>398</v>
      </c>
      <c r="E346" s="7" t="n">
        <v>69</v>
      </c>
      <c r="F346" s="7" t="s">
        <v>415</v>
      </c>
      <c r="G346" s="7" t="s">
        <v>419</v>
      </c>
      <c r="H346" s="7" t="s">
        <v>133</v>
      </c>
      <c r="I346" s="7" t="n">
        <v>0</v>
      </c>
      <c r="J346" s="8" t="n">
        <v>0</v>
      </c>
      <c r="K346" s="8" t="n">
        <v>0</v>
      </c>
      <c r="L346" s="8" t="n">
        <v>0</v>
      </c>
      <c r="M346" s="7" t="s">
        <v>38</v>
      </c>
      <c r="N346" s="7" t="s">
        <v>304</v>
      </c>
      <c r="O346" s="7" t="s">
        <v>327</v>
      </c>
      <c r="P346" s="9"/>
      <c r="Q346" s="9"/>
      <c r="R346" s="7" t="str">
        <f aca="false">IF(P346="",N346,P346)</f>
        <v>regra sem propriedade</v>
      </c>
      <c r="S346" s="7" t="str">
        <f aca="false">IF(P346="","",IF(P346=N346,"sim","não"))</f>
        <v/>
      </c>
      <c r="T346" s="10" t="s">
        <v>420</v>
      </c>
    </row>
    <row r="347" customFormat="false" ht="28.35" hidden="false" customHeight="false" outlineLevel="0" collapsed="false">
      <c r="A347" s="7" t="n">
        <v>345</v>
      </c>
      <c r="B347" s="7" t="s">
        <v>343</v>
      </c>
      <c r="C347" s="7" t="s">
        <v>33</v>
      </c>
      <c r="D347" s="7" t="s">
        <v>398</v>
      </c>
      <c r="E347" s="7" t="n">
        <v>70</v>
      </c>
      <c r="F347" s="7" t="s">
        <v>421</v>
      </c>
      <c r="G347" s="7" t="s">
        <v>422</v>
      </c>
      <c r="H347" s="7" t="s">
        <v>133</v>
      </c>
      <c r="I347" s="7" t="n">
        <v>0</v>
      </c>
      <c r="J347" s="8" t="n">
        <v>0</v>
      </c>
      <c r="K347" s="8" t="n">
        <v>0</v>
      </c>
      <c r="L347" s="8" t="n">
        <v>0</v>
      </c>
      <c r="M347" s="7" t="s">
        <v>38</v>
      </c>
      <c r="N347" s="7" t="s">
        <v>304</v>
      </c>
      <c r="O347" s="7" t="s">
        <v>327</v>
      </c>
      <c r="P347" s="9"/>
      <c r="Q347" s="9"/>
      <c r="R347" s="7" t="str">
        <f aca="false">IF(P347="",N347,P347)</f>
        <v>regra sem propriedade</v>
      </c>
      <c r="S347" s="7" t="str">
        <f aca="false">IF(P347="","",IF(P347=N347,"sim","não"))</f>
        <v/>
      </c>
      <c r="T347" s="10" t="s">
        <v>423</v>
      </c>
    </row>
    <row r="348" customFormat="false" ht="28.35" hidden="false" customHeight="false" outlineLevel="0" collapsed="false">
      <c r="A348" s="7" t="n">
        <v>346</v>
      </c>
      <c r="B348" s="7" t="s">
        <v>343</v>
      </c>
      <c r="C348" s="7" t="s">
        <v>33</v>
      </c>
      <c r="D348" s="7" t="s">
        <v>398</v>
      </c>
      <c r="E348" s="7" t="n">
        <v>73</v>
      </c>
      <c r="F348" s="7" t="s">
        <v>424</v>
      </c>
      <c r="G348" s="7" t="s">
        <v>562</v>
      </c>
      <c r="H348" s="7" t="s">
        <v>133</v>
      </c>
      <c r="I348" s="7" t="n">
        <v>0</v>
      </c>
      <c r="J348" s="8" t="n">
        <v>0</v>
      </c>
      <c r="K348" s="8" t="n">
        <v>0</v>
      </c>
      <c r="L348" s="8" t="n">
        <v>0</v>
      </c>
      <c r="M348" s="7" t="s">
        <v>38</v>
      </c>
      <c r="N348" s="7" t="s">
        <v>304</v>
      </c>
      <c r="O348" s="7" t="s">
        <v>327</v>
      </c>
      <c r="P348" s="9"/>
      <c r="Q348" s="9"/>
      <c r="R348" s="7" t="str">
        <f aca="false">IF(P348="",N348,P348)</f>
        <v>regra sem propriedade</v>
      </c>
      <c r="S348" s="7" t="str">
        <f aca="false">IF(P348="","",IF(P348=N348,"sim","não"))</f>
        <v/>
      </c>
      <c r="T348" s="10" t="s">
        <v>563</v>
      </c>
    </row>
    <row r="349" customFormat="false" ht="23.85" hidden="false" customHeight="false" outlineLevel="0" collapsed="false">
      <c r="A349" s="7" t="n">
        <v>347</v>
      </c>
      <c r="B349" s="7" t="s">
        <v>343</v>
      </c>
      <c r="C349" s="7" t="s">
        <v>33</v>
      </c>
      <c r="D349" s="7" t="s">
        <v>398</v>
      </c>
      <c r="E349" s="7" t="n">
        <v>73</v>
      </c>
      <c r="F349" s="7" t="s">
        <v>424</v>
      </c>
      <c r="G349" s="7" t="s">
        <v>350</v>
      </c>
      <c r="H349" s="7" t="s">
        <v>133</v>
      </c>
      <c r="I349" s="7" t="n">
        <v>0</v>
      </c>
      <c r="J349" s="8" t="n">
        <v>0</v>
      </c>
      <c r="K349" s="8" t="n">
        <v>0</v>
      </c>
      <c r="L349" s="8" t="n">
        <v>0</v>
      </c>
      <c r="M349" s="7" t="s">
        <v>38</v>
      </c>
      <c r="N349" s="7" t="s">
        <v>304</v>
      </c>
      <c r="O349" s="7" t="s">
        <v>327</v>
      </c>
      <c r="P349" s="9"/>
      <c r="Q349" s="9"/>
      <c r="R349" s="7" t="str">
        <f aca="false">IF(P349="",N349,P349)</f>
        <v>regra sem propriedade</v>
      </c>
      <c r="S349" s="7" t="str">
        <f aca="false">IF(P349="","",IF(P349=N349,"sim","não"))</f>
        <v/>
      </c>
      <c r="T349" s="10" t="s">
        <v>564</v>
      </c>
    </row>
    <row r="350" customFormat="false" ht="23.85" hidden="false" customHeight="false" outlineLevel="0" collapsed="false">
      <c r="A350" s="7" t="n">
        <v>348</v>
      </c>
      <c r="B350" s="7" t="s">
        <v>343</v>
      </c>
      <c r="C350" s="7" t="s">
        <v>33</v>
      </c>
      <c r="D350" s="7" t="s">
        <v>398</v>
      </c>
      <c r="E350" s="7" t="n">
        <v>73</v>
      </c>
      <c r="F350" s="7" t="s">
        <v>424</v>
      </c>
      <c r="G350" s="7" t="s">
        <v>358</v>
      </c>
      <c r="H350" s="7" t="s">
        <v>133</v>
      </c>
      <c r="I350" s="7" t="n">
        <v>0</v>
      </c>
      <c r="J350" s="8" t="n">
        <v>0</v>
      </c>
      <c r="K350" s="8" t="n">
        <v>0</v>
      </c>
      <c r="L350" s="8" t="n">
        <v>0</v>
      </c>
      <c r="M350" s="7" t="s">
        <v>38</v>
      </c>
      <c r="N350" s="7" t="s">
        <v>304</v>
      </c>
      <c r="O350" s="7" t="s">
        <v>327</v>
      </c>
      <c r="P350" s="9"/>
      <c r="Q350" s="9"/>
      <c r="R350" s="7" t="str">
        <f aca="false">IF(P350="",N350,P350)</f>
        <v>regra sem propriedade</v>
      </c>
      <c r="S350" s="7" t="str">
        <f aca="false">IF(P350="","",IF(P350=N350,"sim","não"))</f>
        <v/>
      </c>
      <c r="T350" s="10" t="s">
        <v>565</v>
      </c>
    </row>
    <row r="351" customFormat="false" ht="28.35" hidden="false" customHeight="false" outlineLevel="0" collapsed="false">
      <c r="A351" s="7" t="n">
        <v>349</v>
      </c>
      <c r="B351" s="7" t="s">
        <v>343</v>
      </c>
      <c r="C351" s="7" t="s">
        <v>33</v>
      </c>
      <c r="D351" s="7" t="s">
        <v>398</v>
      </c>
      <c r="E351" s="7" t="n">
        <v>73</v>
      </c>
      <c r="F351" s="7" t="s">
        <v>424</v>
      </c>
      <c r="G351" s="7" t="s">
        <v>425</v>
      </c>
      <c r="H351" s="7" t="s">
        <v>133</v>
      </c>
      <c r="I351" s="7" t="n">
        <v>0</v>
      </c>
      <c r="J351" s="8" t="n">
        <v>0</v>
      </c>
      <c r="K351" s="8" t="n">
        <v>0</v>
      </c>
      <c r="L351" s="8" t="n">
        <v>0</v>
      </c>
      <c r="M351" s="7" t="s">
        <v>38</v>
      </c>
      <c r="N351" s="7" t="s">
        <v>304</v>
      </c>
      <c r="O351" s="7" t="s">
        <v>327</v>
      </c>
      <c r="P351" s="9"/>
      <c r="Q351" s="9"/>
      <c r="R351" s="7" t="str">
        <f aca="false">IF(P351="",N351,P351)</f>
        <v>regra sem propriedade</v>
      </c>
      <c r="S351" s="7" t="str">
        <f aca="false">IF(P351="","",IF(P351=N351,"sim","não"))</f>
        <v/>
      </c>
      <c r="T351" s="10" t="s">
        <v>426</v>
      </c>
    </row>
    <row r="352" customFormat="false" ht="23.85" hidden="false" customHeight="false" outlineLevel="0" collapsed="false">
      <c r="A352" s="7" t="n">
        <v>350</v>
      </c>
      <c r="B352" s="7" t="s">
        <v>343</v>
      </c>
      <c r="C352" s="7" t="s">
        <v>33</v>
      </c>
      <c r="D352" s="7" t="s">
        <v>398</v>
      </c>
      <c r="E352" s="7" t="n">
        <v>74</v>
      </c>
      <c r="F352" s="7" t="s">
        <v>566</v>
      </c>
      <c r="G352" s="7" t="s">
        <v>392</v>
      </c>
      <c r="H352" s="7" t="s">
        <v>133</v>
      </c>
      <c r="I352" s="7" t="n">
        <v>0</v>
      </c>
      <c r="J352" s="8" t="n">
        <v>0</v>
      </c>
      <c r="K352" s="8" t="n">
        <v>0</v>
      </c>
      <c r="L352" s="8" t="n">
        <v>0</v>
      </c>
      <c r="M352" s="7" t="s">
        <v>38</v>
      </c>
      <c r="N352" s="7" t="s">
        <v>304</v>
      </c>
      <c r="O352" s="7" t="s">
        <v>327</v>
      </c>
      <c r="P352" s="9"/>
      <c r="Q352" s="9"/>
      <c r="R352" s="7" t="str">
        <f aca="false">IF(P352="",N352,P352)</f>
        <v>regra sem propriedade</v>
      </c>
      <c r="S352" s="7" t="str">
        <f aca="false">IF(P352="","",IF(P352=N352,"sim","não"))</f>
        <v/>
      </c>
      <c r="T352" s="10" t="s">
        <v>567</v>
      </c>
    </row>
    <row r="353" customFormat="false" ht="23.85" hidden="false" customHeight="false" outlineLevel="0" collapsed="false">
      <c r="A353" s="7" t="n">
        <v>351</v>
      </c>
      <c r="B353" s="7" t="s">
        <v>343</v>
      </c>
      <c r="C353" s="7" t="s">
        <v>33</v>
      </c>
      <c r="D353" s="7" t="s">
        <v>398</v>
      </c>
      <c r="E353" s="7" t="n">
        <v>83</v>
      </c>
      <c r="F353" s="7" t="s">
        <v>427</v>
      </c>
      <c r="G353" s="7" t="s">
        <v>350</v>
      </c>
      <c r="H353" s="7" t="s">
        <v>147</v>
      </c>
      <c r="I353" s="7" t="n">
        <v>0</v>
      </c>
      <c r="J353" s="8" t="n">
        <v>0</v>
      </c>
      <c r="K353" s="8" t="n">
        <v>0</v>
      </c>
      <c r="L353" s="8" t="n">
        <v>0</v>
      </c>
      <c r="M353" s="7" t="s">
        <v>38</v>
      </c>
      <c r="N353" s="7" t="s">
        <v>304</v>
      </c>
      <c r="O353" s="7" t="s">
        <v>318</v>
      </c>
      <c r="P353" s="9"/>
      <c r="Q353" s="9"/>
      <c r="R353" s="7" t="str">
        <f aca="false">IF(P353="",N353,P353)</f>
        <v>regra sem propriedade</v>
      </c>
      <c r="S353" s="7" t="str">
        <f aca="false">IF(P353="","",IF(P353=N353,"sim","não"))</f>
        <v/>
      </c>
      <c r="T353" s="10" t="s">
        <v>428</v>
      </c>
    </row>
    <row r="354" customFormat="false" ht="23.85" hidden="false" customHeight="false" outlineLevel="0" collapsed="false">
      <c r="A354" s="7" t="n">
        <v>352</v>
      </c>
      <c r="B354" s="7" t="s">
        <v>343</v>
      </c>
      <c r="C354" s="7" t="s">
        <v>33</v>
      </c>
      <c r="D354" s="7" t="s">
        <v>398</v>
      </c>
      <c r="E354" s="7" t="n">
        <v>83</v>
      </c>
      <c r="F354" s="7" t="s">
        <v>427</v>
      </c>
      <c r="G354" s="7" t="s">
        <v>358</v>
      </c>
      <c r="H354" s="7" t="s">
        <v>147</v>
      </c>
      <c r="I354" s="7" t="n">
        <v>0</v>
      </c>
      <c r="J354" s="8" t="n">
        <v>0</v>
      </c>
      <c r="K354" s="8" t="n">
        <v>0</v>
      </c>
      <c r="L354" s="8" t="n">
        <v>0</v>
      </c>
      <c r="M354" s="7" t="s">
        <v>38</v>
      </c>
      <c r="N354" s="7" t="s">
        <v>304</v>
      </c>
      <c r="O354" s="7" t="s">
        <v>318</v>
      </c>
      <c r="P354" s="9"/>
      <c r="Q354" s="9"/>
      <c r="R354" s="7" t="str">
        <f aca="false">IF(P354="",N354,P354)</f>
        <v>regra sem propriedade</v>
      </c>
      <c r="S354" s="7" t="str">
        <f aca="false">IF(P354="","",IF(P354=N354,"sim","não"))</f>
        <v/>
      </c>
      <c r="T354" s="10" t="s">
        <v>429</v>
      </c>
    </row>
    <row r="355" customFormat="false" ht="23.85" hidden="false" customHeight="false" outlineLevel="0" collapsed="false">
      <c r="A355" s="7" t="n">
        <v>353</v>
      </c>
      <c r="B355" s="7" t="s">
        <v>343</v>
      </c>
      <c r="C355" s="7" t="s">
        <v>33</v>
      </c>
      <c r="D355" s="7" t="s">
        <v>398</v>
      </c>
      <c r="E355" s="7" t="n">
        <v>84</v>
      </c>
      <c r="F355" s="7" t="s">
        <v>430</v>
      </c>
      <c r="G355" s="7" t="s">
        <v>392</v>
      </c>
      <c r="H355" s="7" t="s">
        <v>147</v>
      </c>
      <c r="I355" s="7" t="n">
        <v>0</v>
      </c>
      <c r="J355" s="8" t="n">
        <v>0</v>
      </c>
      <c r="K355" s="8" t="n">
        <v>0</v>
      </c>
      <c r="L355" s="8" t="n">
        <v>0</v>
      </c>
      <c r="M355" s="7" t="s">
        <v>38</v>
      </c>
      <c r="N355" s="7" t="s">
        <v>304</v>
      </c>
      <c r="O355" s="7" t="s">
        <v>318</v>
      </c>
      <c r="P355" s="9"/>
      <c r="Q355" s="9"/>
      <c r="R355" s="7" t="str">
        <f aca="false">IF(P355="",N355,P355)</f>
        <v>regra sem propriedade</v>
      </c>
      <c r="S355" s="7" t="str">
        <f aca="false">IF(P355="","",IF(P355=N355,"sim","não"))</f>
        <v/>
      </c>
      <c r="T355" s="10" t="s">
        <v>431</v>
      </c>
    </row>
    <row r="356" customFormat="false" ht="23.85" hidden="false" customHeight="false" outlineLevel="0" collapsed="false">
      <c r="A356" s="7" t="n">
        <v>354</v>
      </c>
      <c r="B356" s="7" t="s">
        <v>343</v>
      </c>
      <c r="C356" s="7" t="s">
        <v>33</v>
      </c>
      <c r="D356" s="7" t="s">
        <v>398</v>
      </c>
      <c r="E356" s="7" t="n">
        <v>92</v>
      </c>
      <c r="F356" s="7" t="s">
        <v>568</v>
      </c>
      <c r="G356" s="7" t="s">
        <v>350</v>
      </c>
      <c r="H356" s="7" t="s">
        <v>95</v>
      </c>
      <c r="I356" s="7" t="n">
        <v>0</v>
      </c>
      <c r="J356" s="8" t="n">
        <v>0</v>
      </c>
      <c r="K356" s="8" t="n">
        <v>0</v>
      </c>
      <c r="L356" s="8" t="n">
        <v>0</v>
      </c>
      <c r="M356" s="7" t="s">
        <v>38</v>
      </c>
      <c r="N356" s="7" t="s">
        <v>304</v>
      </c>
      <c r="O356" s="7" t="s">
        <v>305</v>
      </c>
      <c r="P356" s="9"/>
      <c r="Q356" s="9"/>
      <c r="R356" s="7" t="str">
        <f aca="false">IF(P356="",N356,P356)</f>
        <v>regra sem propriedade</v>
      </c>
      <c r="S356" s="7" t="str">
        <f aca="false">IF(P356="","",IF(P356=N356,"sim","não"))</f>
        <v/>
      </c>
      <c r="T356" s="10" t="s">
        <v>569</v>
      </c>
    </row>
    <row r="357" customFormat="false" ht="35.05" hidden="false" customHeight="false" outlineLevel="0" collapsed="false">
      <c r="A357" s="7" t="n">
        <v>355</v>
      </c>
      <c r="B357" s="7" t="s">
        <v>343</v>
      </c>
      <c r="C357" s="7" t="s">
        <v>33</v>
      </c>
      <c r="D357" s="7" t="s">
        <v>398</v>
      </c>
      <c r="E357" s="7" t="n">
        <v>93</v>
      </c>
      <c r="F357" s="7" t="s">
        <v>432</v>
      </c>
      <c r="G357" s="7" t="s">
        <v>358</v>
      </c>
      <c r="H357" s="7" t="s">
        <v>95</v>
      </c>
      <c r="I357" s="7" t="n">
        <v>0</v>
      </c>
      <c r="J357" s="8" t="n">
        <v>0</v>
      </c>
      <c r="K357" s="8" t="n">
        <v>0</v>
      </c>
      <c r="L357" s="8" t="n">
        <v>0</v>
      </c>
      <c r="M357" s="7" t="s">
        <v>38</v>
      </c>
      <c r="N357" s="7" t="s">
        <v>304</v>
      </c>
      <c r="O357" s="7" t="s">
        <v>305</v>
      </c>
      <c r="P357" s="9"/>
      <c r="Q357" s="9"/>
      <c r="R357" s="7" t="str">
        <f aca="false">IF(P357="",N357,P357)</f>
        <v>regra sem propriedade</v>
      </c>
      <c r="S357" s="7" t="str">
        <f aca="false">IF(P357="","",IF(P357=N357,"sim","não"))</f>
        <v/>
      </c>
      <c r="T357" s="10" t="s">
        <v>434</v>
      </c>
    </row>
    <row r="358" customFormat="false" ht="35.05" hidden="false" customHeight="false" outlineLevel="0" collapsed="false">
      <c r="A358" s="7" t="n">
        <v>356</v>
      </c>
      <c r="B358" s="7" t="s">
        <v>343</v>
      </c>
      <c r="C358" s="7" t="s">
        <v>33</v>
      </c>
      <c r="D358" s="7" t="s">
        <v>398</v>
      </c>
      <c r="E358" s="7" t="n">
        <v>93</v>
      </c>
      <c r="F358" s="7" t="s">
        <v>432</v>
      </c>
      <c r="G358" s="7" t="s">
        <v>346</v>
      </c>
      <c r="H358" s="7" t="s">
        <v>95</v>
      </c>
      <c r="I358" s="7" t="n">
        <v>0</v>
      </c>
      <c r="J358" s="8" t="n">
        <v>0</v>
      </c>
      <c r="K358" s="8" t="n">
        <v>0</v>
      </c>
      <c r="L358" s="8" t="n">
        <v>0</v>
      </c>
      <c r="M358" s="7" t="s">
        <v>38</v>
      </c>
      <c r="N358" s="7" t="s">
        <v>304</v>
      </c>
      <c r="O358" s="7" t="s">
        <v>305</v>
      </c>
      <c r="P358" s="9"/>
      <c r="Q358" s="9"/>
      <c r="R358" s="7" t="str">
        <f aca="false">IF(P358="",N358,P358)</f>
        <v>regra sem propriedade</v>
      </c>
      <c r="S358" s="7" t="str">
        <f aca="false">IF(P358="","",IF(P358=N358,"sim","não"))</f>
        <v/>
      </c>
      <c r="T358" s="10" t="s">
        <v>435</v>
      </c>
    </row>
    <row r="359" customFormat="false" ht="35.05" hidden="false" customHeight="false" outlineLevel="0" collapsed="false">
      <c r="A359" s="7" t="n">
        <v>357</v>
      </c>
      <c r="B359" s="7" t="s">
        <v>343</v>
      </c>
      <c r="C359" s="7" t="s">
        <v>33</v>
      </c>
      <c r="D359" s="7" t="s">
        <v>398</v>
      </c>
      <c r="E359" s="7" t="n">
        <v>93</v>
      </c>
      <c r="F359" s="7" t="s">
        <v>432</v>
      </c>
      <c r="G359" s="7" t="s">
        <v>346</v>
      </c>
      <c r="H359" s="7" t="s">
        <v>95</v>
      </c>
      <c r="I359" s="7" t="n">
        <v>0</v>
      </c>
      <c r="J359" s="8" t="n">
        <v>0</v>
      </c>
      <c r="K359" s="8" t="n">
        <v>0</v>
      </c>
      <c r="L359" s="8" t="n">
        <v>0</v>
      </c>
      <c r="M359" s="7" t="s">
        <v>38</v>
      </c>
      <c r="N359" s="7" t="s">
        <v>304</v>
      </c>
      <c r="O359" s="7" t="s">
        <v>305</v>
      </c>
      <c r="P359" s="9"/>
      <c r="Q359" s="9"/>
      <c r="R359" s="7" t="str">
        <f aca="false">IF(P359="",N359,P359)</f>
        <v>regra sem propriedade</v>
      </c>
      <c r="S359" s="7" t="str">
        <f aca="false">IF(P359="","",IF(P359=N359,"sim","não"))</f>
        <v/>
      </c>
      <c r="T359" s="10" t="s">
        <v>436</v>
      </c>
    </row>
    <row r="360" customFormat="false" ht="35.05" hidden="false" customHeight="false" outlineLevel="0" collapsed="false">
      <c r="A360" s="7" t="n">
        <v>358</v>
      </c>
      <c r="B360" s="7" t="s">
        <v>343</v>
      </c>
      <c r="C360" s="7" t="s">
        <v>33</v>
      </c>
      <c r="D360" s="7" t="s">
        <v>398</v>
      </c>
      <c r="E360" s="7" t="n">
        <v>93</v>
      </c>
      <c r="F360" s="7" t="s">
        <v>432</v>
      </c>
      <c r="G360" s="7" t="s">
        <v>346</v>
      </c>
      <c r="H360" s="7" t="s">
        <v>95</v>
      </c>
      <c r="I360" s="7" t="n">
        <v>0</v>
      </c>
      <c r="J360" s="8" t="n">
        <v>0</v>
      </c>
      <c r="K360" s="8" t="n">
        <v>0</v>
      </c>
      <c r="L360" s="8" t="n">
        <v>0</v>
      </c>
      <c r="M360" s="7" t="s">
        <v>38</v>
      </c>
      <c r="N360" s="7" t="s">
        <v>304</v>
      </c>
      <c r="O360" s="7" t="s">
        <v>305</v>
      </c>
      <c r="P360" s="9"/>
      <c r="Q360" s="9"/>
      <c r="R360" s="7" t="str">
        <f aca="false">IF(P360="",N360,P360)</f>
        <v>regra sem propriedade</v>
      </c>
      <c r="S360" s="7" t="str">
        <f aca="false">IF(P360="","",IF(P360=N360,"sim","não"))</f>
        <v/>
      </c>
      <c r="T360" s="10" t="s">
        <v>437</v>
      </c>
    </row>
    <row r="361" customFormat="false" ht="35.05" hidden="false" customHeight="false" outlineLevel="0" collapsed="false">
      <c r="A361" s="7" t="n">
        <v>359</v>
      </c>
      <c r="B361" s="7" t="s">
        <v>343</v>
      </c>
      <c r="C361" s="7" t="s">
        <v>33</v>
      </c>
      <c r="D361" s="7" t="s">
        <v>398</v>
      </c>
      <c r="E361" s="7" t="n">
        <v>93</v>
      </c>
      <c r="F361" s="7" t="s">
        <v>432</v>
      </c>
      <c r="G361" s="7" t="s">
        <v>346</v>
      </c>
      <c r="H361" s="7" t="s">
        <v>95</v>
      </c>
      <c r="I361" s="7" t="n">
        <v>0</v>
      </c>
      <c r="J361" s="8" t="n">
        <v>0</v>
      </c>
      <c r="K361" s="8" t="n">
        <v>0</v>
      </c>
      <c r="L361" s="8" t="n">
        <v>0</v>
      </c>
      <c r="M361" s="7" t="s">
        <v>38</v>
      </c>
      <c r="N361" s="7" t="s">
        <v>304</v>
      </c>
      <c r="O361" s="7" t="s">
        <v>305</v>
      </c>
      <c r="P361" s="9"/>
      <c r="Q361" s="9"/>
      <c r="R361" s="7" t="str">
        <f aca="false">IF(P361="",N361,P361)</f>
        <v>regra sem propriedade</v>
      </c>
      <c r="S361" s="7" t="str">
        <f aca="false">IF(P361="","",IF(P361=N361,"sim","não"))</f>
        <v/>
      </c>
      <c r="T361" s="10" t="s">
        <v>439</v>
      </c>
    </row>
    <row r="362" customFormat="false" ht="35.05" hidden="false" customHeight="false" outlineLevel="0" collapsed="false">
      <c r="A362" s="7" t="n">
        <v>360</v>
      </c>
      <c r="B362" s="7" t="s">
        <v>343</v>
      </c>
      <c r="C362" s="7" t="s">
        <v>33</v>
      </c>
      <c r="D362" s="7" t="s">
        <v>398</v>
      </c>
      <c r="E362" s="7" t="n">
        <v>93</v>
      </c>
      <c r="F362" s="7" t="s">
        <v>432</v>
      </c>
      <c r="G362" s="7" t="s">
        <v>444</v>
      </c>
      <c r="H362" s="7" t="s">
        <v>95</v>
      </c>
      <c r="I362" s="7" t="n">
        <v>0</v>
      </c>
      <c r="J362" s="8" t="n">
        <v>0</v>
      </c>
      <c r="K362" s="8" t="n">
        <v>0</v>
      </c>
      <c r="L362" s="8" t="n">
        <v>0</v>
      </c>
      <c r="M362" s="7" t="s">
        <v>38</v>
      </c>
      <c r="N362" s="7" t="s">
        <v>304</v>
      </c>
      <c r="O362" s="7" t="s">
        <v>305</v>
      </c>
      <c r="P362" s="9"/>
      <c r="Q362" s="9"/>
      <c r="R362" s="7" t="str">
        <f aca="false">IF(P362="",N362,P362)</f>
        <v>regra sem propriedade</v>
      </c>
      <c r="S362" s="7" t="str">
        <f aca="false">IF(P362="","",IF(P362=N362,"sim","não"))</f>
        <v/>
      </c>
      <c r="T362" s="10" t="s">
        <v>446</v>
      </c>
    </row>
    <row r="363" customFormat="false" ht="35.05" hidden="false" customHeight="false" outlineLevel="0" collapsed="false">
      <c r="A363" s="7" t="n">
        <v>361</v>
      </c>
      <c r="B363" s="7" t="s">
        <v>343</v>
      </c>
      <c r="C363" s="7" t="s">
        <v>33</v>
      </c>
      <c r="D363" s="7" t="s">
        <v>398</v>
      </c>
      <c r="E363" s="7" t="n">
        <v>93</v>
      </c>
      <c r="F363" s="7" t="s">
        <v>432</v>
      </c>
      <c r="G363" s="7" t="s">
        <v>447</v>
      </c>
      <c r="H363" s="7" t="s">
        <v>95</v>
      </c>
      <c r="I363" s="7" t="n">
        <v>0</v>
      </c>
      <c r="J363" s="8" t="n">
        <v>0</v>
      </c>
      <c r="K363" s="8" t="n">
        <v>0</v>
      </c>
      <c r="L363" s="8" t="n">
        <v>0</v>
      </c>
      <c r="M363" s="7" t="s">
        <v>38</v>
      </c>
      <c r="N363" s="7" t="s">
        <v>304</v>
      </c>
      <c r="O363" s="7" t="s">
        <v>305</v>
      </c>
      <c r="P363" s="9"/>
      <c r="Q363" s="9"/>
      <c r="R363" s="7" t="str">
        <f aca="false">IF(P363="",N363,P363)</f>
        <v>regra sem propriedade</v>
      </c>
      <c r="S363" s="7" t="str">
        <f aca="false">IF(P363="","",IF(P363=N363,"sim","não"))</f>
        <v/>
      </c>
      <c r="T363" s="10" t="s">
        <v>448</v>
      </c>
    </row>
    <row r="364" customFormat="false" ht="23.85" hidden="false" customHeight="false" outlineLevel="0" collapsed="false">
      <c r="A364" s="7" t="n">
        <v>362</v>
      </c>
      <c r="B364" s="7" t="s">
        <v>343</v>
      </c>
      <c r="C364" s="7" t="s">
        <v>33</v>
      </c>
      <c r="D364" s="7" t="s">
        <v>398</v>
      </c>
      <c r="E364" s="7" t="n">
        <v>94</v>
      </c>
      <c r="F364" s="7" t="s">
        <v>449</v>
      </c>
      <c r="G364" s="7" t="s">
        <v>346</v>
      </c>
      <c r="H364" s="7" t="s">
        <v>95</v>
      </c>
      <c r="I364" s="7" t="n">
        <v>0</v>
      </c>
      <c r="J364" s="8" t="n">
        <v>0</v>
      </c>
      <c r="K364" s="8" t="n">
        <v>0</v>
      </c>
      <c r="L364" s="8" t="n">
        <v>0</v>
      </c>
      <c r="M364" s="7" t="s">
        <v>38</v>
      </c>
      <c r="N364" s="7" t="s">
        <v>304</v>
      </c>
      <c r="O364" s="7" t="s">
        <v>305</v>
      </c>
      <c r="P364" s="9"/>
      <c r="Q364" s="9"/>
      <c r="R364" s="7" t="str">
        <f aca="false">IF(P364="",N364,P364)</f>
        <v>regra sem propriedade</v>
      </c>
      <c r="S364" s="7" t="str">
        <f aca="false">IF(P364="","",IF(P364=N364,"sim","não"))</f>
        <v/>
      </c>
      <c r="T364" s="10" t="s">
        <v>450</v>
      </c>
    </row>
    <row r="365" customFormat="false" ht="28.35" hidden="false" customHeight="false" outlineLevel="0" collapsed="false">
      <c r="A365" s="7" t="n">
        <v>363</v>
      </c>
      <c r="B365" s="7" t="s">
        <v>343</v>
      </c>
      <c r="C365" s="7" t="s">
        <v>33</v>
      </c>
      <c r="D365" s="7" t="s">
        <v>398</v>
      </c>
      <c r="E365" s="7" t="n">
        <v>94</v>
      </c>
      <c r="F365" s="7" t="s">
        <v>449</v>
      </c>
      <c r="G365" s="7" t="s">
        <v>451</v>
      </c>
      <c r="H365" s="7" t="s">
        <v>95</v>
      </c>
      <c r="I365" s="7" t="n">
        <v>0</v>
      </c>
      <c r="J365" s="8" t="n">
        <v>0</v>
      </c>
      <c r="K365" s="8" t="n">
        <v>0</v>
      </c>
      <c r="L365" s="8" t="n">
        <v>0</v>
      </c>
      <c r="M365" s="7" t="s">
        <v>38</v>
      </c>
      <c r="N365" s="7" t="s">
        <v>304</v>
      </c>
      <c r="O365" s="7" t="s">
        <v>305</v>
      </c>
      <c r="P365" s="9"/>
      <c r="Q365" s="9"/>
      <c r="R365" s="7" t="str">
        <f aca="false">IF(P365="",N365,P365)</f>
        <v>regra sem propriedade</v>
      </c>
      <c r="S365" s="7" t="str">
        <f aca="false">IF(P365="","",IF(P365=N365,"sim","não"))</f>
        <v/>
      </c>
      <c r="T365" s="10" t="s">
        <v>453</v>
      </c>
    </row>
    <row r="366" customFormat="false" ht="23.85" hidden="false" customHeight="false" outlineLevel="0" collapsed="false">
      <c r="A366" s="7" t="n">
        <v>364</v>
      </c>
      <c r="B366" s="7" t="s">
        <v>343</v>
      </c>
      <c r="C366" s="7" t="s">
        <v>33</v>
      </c>
      <c r="D366" s="7" t="s">
        <v>398</v>
      </c>
      <c r="E366" s="7" t="n">
        <v>95</v>
      </c>
      <c r="F366" s="7" t="s">
        <v>454</v>
      </c>
      <c r="G366" s="7" t="s">
        <v>350</v>
      </c>
      <c r="H366" s="7" t="s">
        <v>95</v>
      </c>
      <c r="I366" s="7" t="n">
        <v>0</v>
      </c>
      <c r="J366" s="8" t="n">
        <v>0</v>
      </c>
      <c r="K366" s="8" t="n">
        <v>0</v>
      </c>
      <c r="L366" s="8" t="n">
        <v>0</v>
      </c>
      <c r="M366" s="7" t="s">
        <v>38</v>
      </c>
      <c r="N366" s="7" t="s">
        <v>304</v>
      </c>
      <c r="O366" s="7" t="s">
        <v>305</v>
      </c>
      <c r="P366" s="9"/>
      <c r="Q366" s="9"/>
      <c r="R366" s="7" t="str">
        <f aca="false">IF(P366="",N366,P366)</f>
        <v>regra sem propriedade</v>
      </c>
      <c r="S366" s="7" t="str">
        <f aca="false">IF(P366="","",IF(P366=N366,"sim","não"))</f>
        <v/>
      </c>
      <c r="T366" s="10" t="s">
        <v>570</v>
      </c>
    </row>
    <row r="367" customFormat="false" ht="23.85" hidden="false" customHeight="false" outlineLevel="0" collapsed="false">
      <c r="A367" s="7" t="n">
        <v>365</v>
      </c>
      <c r="B367" s="7" t="s">
        <v>343</v>
      </c>
      <c r="C367" s="7" t="s">
        <v>33</v>
      </c>
      <c r="D367" s="7" t="s">
        <v>398</v>
      </c>
      <c r="E367" s="7" t="n">
        <v>95</v>
      </c>
      <c r="F367" s="7" t="s">
        <v>454</v>
      </c>
      <c r="G367" s="7" t="s">
        <v>358</v>
      </c>
      <c r="H367" s="7" t="s">
        <v>95</v>
      </c>
      <c r="I367" s="7" t="n">
        <v>0</v>
      </c>
      <c r="J367" s="8" t="n">
        <v>0</v>
      </c>
      <c r="K367" s="8" t="n">
        <v>0</v>
      </c>
      <c r="L367" s="8" t="n">
        <v>0</v>
      </c>
      <c r="M367" s="7" t="s">
        <v>38</v>
      </c>
      <c r="N367" s="7" t="s">
        <v>304</v>
      </c>
      <c r="O367" s="7" t="s">
        <v>305</v>
      </c>
      <c r="P367" s="9"/>
      <c r="Q367" s="9"/>
      <c r="R367" s="7" t="str">
        <f aca="false">IF(P367="",N367,P367)</f>
        <v>regra sem propriedade</v>
      </c>
      <c r="S367" s="7" t="str">
        <f aca="false">IF(P367="","",IF(P367=N367,"sim","não"))</f>
        <v/>
      </c>
      <c r="T367" s="10" t="s">
        <v>455</v>
      </c>
    </row>
    <row r="368" customFormat="false" ht="23.85" hidden="false" customHeight="false" outlineLevel="0" collapsed="false">
      <c r="A368" s="7" t="n">
        <v>366</v>
      </c>
      <c r="B368" s="7" t="s">
        <v>343</v>
      </c>
      <c r="C368" s="7" t="s">
        <v>33</v>
      </c>
      <c r="D368" s="7" t="s">
        <v>398</v>
      </c>
      <c r="E368" s="7" t="n">
        <v>95</v>
      </c>
      <c r="F368" s="7" t="s">
        <v>454</v>
      </c>
      <c r="G368" s="7" t="s">
        <v>358</v>
      </c>
      <c r="H368" s="7" t="s">
        <v>95</v>
      </c>
      <c r="I368" s="7" t="n">
        <v>0</v>
      </c>
      <c r="J368" s="8" t="n">
        <v>0</v>
      </c>
      <c r="K368" s="8" t="n">
        <v>0</v>
      </c>
      <c r="L368" s="8" t="n">
        <v>0</v>
      </c>
      <c r="M368" s="7" t="s">
        <v>38</v>
      </c>
      <c r="N368" s="7" t="s">
        <v>304</v>
      </c>
      <c r="O368" s="7" t="s">
        <v>305</v>
      </c>
      <c r="P368" s="9"/>
      <c r="Q368" s="9"/>
      <c r="R368" s="7" t="str">
        <f aca="false">IF(P368="",N368,P368)</f>
        <v>regra sem propriedade</v>
      </c>
      <c r="S368" s="7" t="str">
        <f aca="false">IF(P368="","",IF(P368=N368,"sim","não"))</f>
        <v/>
      </c>
      <c r="T368" s="10" t="s">
        <v>456</v>
      </c>
    </row>
    <row r="369" customFormat="false" ht="23.85" hidden="false" customHeight="false" outlineLevel="0" collapsed="false">
      <c r="A369" s="7" t="n">
        <v>367</v>
      </c>
      <c r="B369" s="7" t="s">
        <v>343</v>
      </c>
      <c r="C369" s="7" t="s">
        <v>33</v>
      </c>
      <c r="D369" s="7" t="s">
        <v>398</v>
      </c>
      <c r="E369" s="7" t="n">
        <v>95</v>
      </c>
      <c r="F369" s="7" t="s">
        <v>454</v>
      </c>
      <c r="G369" s="7" t="s">
        <v>358</v>
      </c>
      <c r="H369" s="7" t="s">
        <v>95</v>
      </c>
      <c r="I369" s="7" t="n">
        <v>0</v>
      </c>
      <c r="J369" s="8" t="n">
        <v>0</v>
      </c>
      <c r="K369" s="8" t="n">
        <v>0</v>
      </c>
      <c r="L369" s="8" t="n">
        <v>0</v>
      </c>
      <c r="M369" s="7" t="s">
        <v>38</v>
      </c>
      <c r="N369" s="7" t="s">
        <v>304</v>
      </c>
      <c r="O369" s="7" t="s">
        <v>305</v>
      </c>
      <c r="P369" s="9"/>
      <c r="Q369" s="9"/>
      <c r="R369" s="7" t="str">
        <f aca="false">IF(P369="",N369,P369)</f>
        <v>regra sem propriedade</v>
      </c>
      <c r="S369" s="7" t="str">
        <f aca="false">IF(P369="","",IF(P369=N369,"sim","não"))</f>
        <v/>
      </c>
      <c r="T369" s="10" t="s">
        <v>571</v>
      </c>
    </row>
    <row r="370" customFormat="false" ht="23.85" hidden="false" customHeight="false" outlineLevel="0" collapsed="false">
      <c r="A370" s="7" t="n">
        <v>368</v>
      </c>
      <c r="B370" s="7" t="s">
        <v>343</v>
      </c>
      <c r="C370" s="7" t="s">
        <v>33</v>
      </c>
      <c r="D370" s="7" t="s">
        <v>398</v>
      </c>
      <c r="E370" s="7" t="n">
        <v>95</v>
      </c>
      <c r="F370" s="7" t="s">
        <v>454</v>
      </c>
      <c r="G370" s="7" t="s">
        <v>358</v>
      </c>
      <c r="H370" s="7" t="s">
        <v>95</v>
      </c>
      <c r="I370" s="7" t="n">
        <v>0</v>
      </c>
      <c r="J370" s="8" t="n">
        <v>0</v>
      </c>
      <c r="K370" s="8" t="n">
        <v>0</v>
      </c>
      <c r="L370" s="8" t="n">
        <v>0</v>
      </c>
      <c r="M370" s="7" t="s">
        <v>38</v>
      </c>
      <c r="N370" s="7" t="s">
        <v>304</v>
      </c>
      <c r="O370" s="7" t="s">
        <v>305</v>
      </c>
      <c r="P370" s="9"/>
      <c r="Q370" s="9"/>
      <c r="R370" s="7" t="str">
        <f aca="false">IF(P370="",N370,P370)</f>
        <v>regra sem propriedade</v>
      </c>
      <c r="S370" s="7" t="str">
        <f aca="false">IF(P370="","",IF(P370=N370,"sim","não"))</f>
        <v/>
      </c>
      <c r="T370" s="10" t="s">
        <v>457</v>
      </c>
    </row>
    <row r="371" customFormat="false" ht="23.85" hidden="false" customHeight="false" outlineLevel="0" collapsed="false">
      <c r="A371" s="7" t="n">
        <v>369</v>
      </c>
      <c r="B371" s="7" t="s">
        <v>343</v>
      </c>
      <c r="C371" s="7" t="s">
        <v>33</v>
      </c>
      <c r="D371" s="7" t="s">
        <v>398</v>
      </c>
      <c r="E371" s="7" t="n">
        <v>95</v>
      </c>
      <c r="F371" s="7" t="s">
        <v>454</v>
      </c>
      <c r="G371" s="7" t="s">
        <v>358</v>
      </c>
      <c r="H371" s="7" t="s">
        <v>95</v>
      </c>
      <c r="I371" s="7" t="n">
        <v>0</v>
      </c>
      <c r="J371" s="8" t="n">
        <v>0</v>
      </c>
      <c r="K371" s="8" t="n">
        <v>0</v>
      </c>
      <c r="L371" s="8" t="n">
        <v>0</v>
      </c>
      <c r="M371" s="7" t="s">
        <v>38</v>
      </c>
      <c r="N371" s="7" t="s">
        <v>304</v>
      </c>
      <c r="O371" s="7" t="s">
        <v>305</v>
      </c>
      <c r="P371" s="9"/>
      <c r="Q371" s="9"/>
      <c r="R371" s="7" t="str">
        <f aca="false">IF(P371="",N371,P371)</f>
        <v>regra sem propriedade</v>
      </c>
      <c r="S371" s="7" t="str">
        <f aca="false">IF(P371="","",IF(P371=N371,"sim","não"))</f>
        <v/>
      </c>
      <c r="T371" s="10" t="s">
        <v>572</v>
      </c>
    </row>
    <row r="372" customFormat="false" ht="23.85" hidden="false" customHeight="false" outlineLevel="0" collapsed="false">
      <c r="A372" s="7" t="n">
        <v>370</v>
      </c>
      <c r="B372" s="7" t="s">
        <v>343</v>
      </c>
      <c r="C372" s="7" t="s">
        <v>33</v>
      </c>
      <c r="D372" s="7" t="s">
        <v>398</v>
      </c>
      <c r="E372" s="7" t="n">
        <v>95</v>
      </c>
      <c r="F372" s="7" t="s">
        <v>454</v>
      </c>
      <c r="G372" s="7" t="s">
        <v>358</v>
      </c>
      <c r="H372" s="7" t="s">
        <v>95</v>
      </c>
      <c r="I372" s="7" t="n">
        <v>0</v>
      </c>
      <c r="J372" s="8" t="n">
        <v>0</v>
      </c>
      <c r="K372" s="8" t="n">
        <v>0</v>
      </c>
      <c r="L372" s="8" t="n">
        <v>0</v>
      </c>
      <c r="M372" s="7" t="s">
        <v>38</v>
      </c>
      <c r="N372" s="7" t="s">
        <v>304</v>
      </c>
      <c r="O372" s="7" t="s">
        <v>305</v>
      </c>
      <c r="P372" s="9"/>
      <c r="Q372" s="9"/>
      <c r="R372" s="7" t="str">
        <f aca="false">IF(P372="",N372,P372)</f>
        <v>regra sem propriedade</v>
      </c>
      <c r="S372" s="7" t="str">
        <f aca="false">IF(P372="","",IF(P372=N372,"sim","não"))</f>
        <v/>
      </c>
      <c r="T372" s="10" t="s">
        <v>573</v>
      </c>
    </row>
    <row r="373" customFormat="false" ht="23.85" hidden="false" customHeight="false" outlineLevel="0" collapsed="false">
      <c r="A373" s="7" t="n">
        <v>371</v>
      </c>
      <c r="B373" s="7" t="s">
        <v>343</v>
      </c>
      <c r="C373" s="7" t="s">
        <v>33</v>
      </c>
      <c r="D373" s="7" t="s">
        <v>398</v>
      </c>
      <c r="E373" s="7" t="n">
        <v>95</v>
      </c>
      <c r="F373" s="7" t="s">
        <v>454</v>
      </c>
      <c r="G373" s="7" t="s">
        <v>358</v>
      </c>
      <c r="H373" s="7" t="s">
        <v>95</v>
      </c>
      <c r="I373" s="7" t="n">
        <v>0</v>
      </c>
      <c r="J373" s="8" t="n">
        <v>0</v>
      </c>
      <c r="K373" s="8" t="n">
        <v>0</v>
      </c>
      <c r="L373" s="8" t="n">
        <v>0</v>
      </c>
      <c r="M373" s="7" t="s">
        <v>38</v>
      </c>
      <c r="N373" s="7" t="s">
        <v>304</v>
      </c>
      <c r="O373" s="7" t="s">
        <v>305</v>
      </c>
      <c r="P373" s="9"/>
      <c r="Q373" s="9"/>
      <c r="R373" s="7" t="str">
        <f aca="false">IF(P373="",N373,P373)</f>
        <v>regra sem propriedade</v>
      </c>
      <c r="S373" s="7" t="str">
        <f aca="false">IF(P373="","",IF(P373=N373,"sim","não"))</f>
        <v/>
      </c>
      <c r="T373" s="10" t="s">
        <v>574</v>
      </c>
    </row>
    <row r="374" customFormat="false" ht="37.3" hidden="false" customHeight="false" outlineLevel="0" collapsed="false">
      <c r="A374" s="7" t="n">
        <v>372</v>
      </c>
      <c r="B374" s="7" t="s">
        <v>343</v>
      </c>
      <c r="C374" s="7" t="s">
        <v>33</v>
      </c>
      <c r="D374" s="7" t="s">
        <v>398</v>
      </c>
      <c r="E374" s="7" t="n">
        <v>95</v>
      </c>
      <c r="F374" s="7" t="s">
        <v>454</v>
      </c>
      <c r="G374" s="7" t="s">
        <v>575</v>
      </c>
      <c r="H374" s="7" t="s">
        <v>95</v>
      </c>
      <c r="I374" s="7" t="n">
        <v>0</v>
      </c>
      <c r="J374" s="8" t="n">
        <v>0</v>
      </c>
      <c r="K374" s="8" t="n">
        <v>0</v>
      </c>
      <c r="L374" s="8" t="n">
        <v>0</v>
      </c>
      <c r="M374" s="7" t="s">
        <v>38</v>
      </c>
      <c r="N374" s="7" t="s">
        <v>304</v>
      </c>
      <c r="O374" s="7" t="s">
        <v>305</v>
      </c>
      <c r="P374" s="9"/>
      <c r="Q374" s="9"/>
      <c r="R374" s="7" t="str">
        <f aca="false">IF(P374="",N374,P374)</f>
        <v>regra sem propriedade</v>
      </c>
      <c r="S374" s="7" t="str">
        <f aca="false">IF(P374="","",IF(P374=N374,"sim","não"))</f>
        <v/>
      </c>
      <c r="T374" s="10" t="s">
        <v>576</v>
      </c>
    </row>
    <row r="375" customFormat="false" ht="28.35" hidden="false" customHeight="false" outlineLevel="0" collapsed="false">
      <c r="A375" s="7" t="n">
        <v>373</v>
      </c>
      <c r="B375" s="7" t="s">
        <v>343</v>
      </c>
      <c r="C375" s="7" t="s">
        <v>33</v>
      </c>
      <c r="D375" s="7" t="s">
        <v>398</v>
      </c>
      <c r="E375" s="7" t="n">
        <v>95</v>
      </c>
      <c r="F375" s="7" t="s">
        <v>454</v>
      </c>
      <c r="G375" s="7" t="s">
        <v>577</v>
      </c>
      <c r="H375" s="7" t="s">
        <v>95</v>
      </c>
      <c r="I375" s="7" t="n">
        <v>0</v>
      </c>
      <c r="J375" s="8" t="n">
        <v>0</v>
      </c>
      <c r="K375" s="8" t="n">
        <v>0</v>
      </c>
      <c r="L375" s="8" t="n">
        <v>0</v>
      </c>
      <c r="M375" s="7" t="s">
        <v>38</v>
      </c>
      <c r="N375" s="7" t="s">
        <v>304</v>
      </c>
      <c r="O375" s="7" t="s">
        <v>305</v>
      </c>
      <c r="P375" s="9"/>
      <c r="Q375" s="9"/>
      <c r="R375" s="7" t="str">
        <f aca="false">IF(P375="",N375,P375)</f>
        <v>regra sem propriedade</v>
      </c>
      <c r="S375" s="7" t="str">
        <f aca="false">IF(P375="","",IF(P375=N375,"sim","não"))</f>
        <v/>
      </c>
      <c r="T375" s="10" t="s">
        <v>578</v>
      </c>
    </row>
    <row r="376" customFormat="false" ht="28.35" hidden="false" customHeight="false" outlineLevel="0" collapsed="false">
      <c r="A376" s="7" t="n">
        <v>374</v>
      </c>
      <c r="B376" s="7" t="s">
        <v>343</v>
      </c>
      <c r="C376" s="7" t="s">
        <v>33</v>
      </c>
      <c r="D376" s="7" t="s">
        <v>398</v>
      </c>
      <c r="E376" s="7" t="n">
        <v>95</v>
      </c>
      <c r="F376" s="7" t="s">
        <v>454</v>
      </c>
      <c r="G376" s="7" t="s">
        <v>579</v>
      </c>
      <c r="H376" s="7" t="s">
        <v>95</v>
      </c>
      <c r="I376" s="7" t="n">
        <v>0</v>
      </c>
      <c r="J376" s="8" t="n">
        <v>0</v>
      </c>
      <c r="K376" s="8" t="n">
        <v>0</v>
      </c>
      <c r="L376" s="8" t="n">
        <v>0</v>
      </c>
      <c r="M376" s="7" t="s">
        <v>38</v>
      </c>
      <c r="N376" s="7" t="s">
        <v>304</v>
      </c>
      <c r="O376" s="7" t="s">
        <v>305</v>
      </c>
      <c r="P376" s="9"/>
      <c r="Q376" s="9"/>
      <c r="R376" s="7" t="str">
        <f aca="false">IF(P376="",N376,P376)</f>
        <v>regra sem propriedade</v>
      </c>
      <c r="S376" s="7" t="str">
        <f aca="false">IF(P376="","",IF(P376=N376,"sim","não"))</f>
        <v/>
      </c>
      <c r="T376" s="10" t="s">
        <v>580</v>
      </c>
    </row>
    <row r="377" customFormat="false" ht="37.3" hidden="false" customHeight="false" outlineLevel="0" collapsed="false">
      <c r="A377" s="7" t="n">
        <v>375</v>
      </c>
      <c r="B377" s="7" t="s">
        <v>343</v>
      </c>
      <c r="C377" s="7" t="s">
        <v>33</v>
      </c>
      <c r="D377" s="7" t="s">
        <v>398</v>
      </c>
      <c r="E377" s="7" t="n">
        <v>95</v>
      </c>
      <c r="F377" s="7" t="s">
        <v>454</v>
      </c>
      <c r="G377" s="7" t="s">
        <v>581</v>
      </c>
      <c r="H377" s="7" t="s">
        <v>95</v>
      </c>
      <c r="I377" s="7" t="n">
        <v>0</v>
      </c>
      <c r="J377" s="8" t="n">
        <v>0</v>
      </c>
      <c r="K377" s="8" t="n">
        <v>0</v>
      </c>
      <c r="L377" s="8" t="n">
        <v>0</v>
      </c>
      <c r="M377" s="7" t="s">
        <v>38</v>
      </c>
      <c r="N377" s="7" t="s">
        <v>304</v>
      </c>
      <c r="O377" s="7" t="s">
        <v>305</v>
      </c>
      <c r="P377" s="9"/>
      <c r="Q377" s="9"/>
      <c r="R377" s="7" t="str">
        <f aca="false">IF(P377="",N377,P377)</f>
        <v>regra sem propriedade</v>
      </c>
      <c r="S377" s="7" t="str">
        <f aca="false">IF(P377="","",IF(P377=N377,"sim","não"))</f>
        <v/>
      </c>
      <c r="T377" s="10" t="s">
        <v>582</v>
      </c>
    </row>
    <row r="378" customFormat="false" ht="23.85" hidden="false" customHeight="false" outlineLevel="0" collapsed="false">
      <c r="A378" s="7" t="n">
        <v>376</v>
      </c>
      <c r="B378" s="7" t="s">
        <v>343</v>
      </c>
      <c r="C378" s="7" t="s">
        <v>33</v>
      </c>
      <c r="D378" s="7" t="s">
        <v>398</v>
      </c>
      <c r="E378" s="7" t="n">
        <v>95</v>
      </c>
      <c r="F378" s="7" t="s">
        <v>454</v>
      </c>
      <c r="G378" s="7" t="s">
        <v>458</v>
      </c>
      <c r="H378" s="7" t="s">
        <v>95</v>
      </c>
      <c r="I378" s="7" t="n">
        <v>0</v>
      </c>
      <c r="J378" s="8" t="n">
        <v>0</v>
      </c>
      <c r="K378" s="8" t="n">
        <v>0</v>
      </c>
      <c r="L378" s="8" t="n">
        <v>0</v>
      </c>
      <c r="M378" s="7" t="s">
        <v>38</v>
      </c>
      <c r="N378" s="7" t="s">
        <v>304</v>
      </c>
      <c r="O378" s="7" t="s">
        <v>305</v>
      </c>
      <c r="P378" s="9"/>
      <c r="Q378" s="9"/>
      <c r="R378" s="7" t="str">
        <f aca="false">IF(P378="",N378,P378)</f>
        <v>regra sem propriedade</v>
      </c>
      <c r="S378" s="7" t="str">
        <f aca="false">IF(P378="","",IF(P378=N378,"sim","não"))</f>
        <v/>
      </c>
      <c r="T378" s="10" t="s">
        <v>459</v>
      </c>
    </row>
    <row r="379" customFormat="false" ht="23.85" hidden="false" customHeight="false" outlineLevel="0" collapsed="false">
      <c r="A379" s="7" t="n">
        <v>377</v>
      </c>
      <c r="B379" s="7" t="s">
        <v>343</v>
      </c>
      <c r="C379" s="7" t="s">
        <v>33</v>
      </c>
      <c r="D379" s="7" t="s">
        <v>398</v>
      </c>
      <c r="E379" s="7" t="n">
        <v>95</v>
      </c>
      <c r="F379" s="7" t="s">
        <v>454</v>
      </c>
      <c r="G379" s="7" t="s">
        <v>546</v>
      </c>
      <c r="H379" s="7" t="s">
        <v>95</v>
      </c>
      <c r="I379" s="7" t="n">
        <v>0</v>
      </c>
      <c r="J379" s="8" t="n">
        <v>0</v>
      </c>
      <c r="K379" s="8" t="n">
        <v>0</v>
      </c>
      <c r="L379" s="8" t="n">
        <v>0</v>
      </c>
      <c r="M379" s="7" t="s">
        <v>38</v>
      </c>
      <c r="N379" s="7" t="s">
        <v>304</v>
      </c>
      <c r="O379" s="7" t="s">
        <v>305</v>
      </c>
      <c r="P379" s="9"/>
      <c r="Q379" s="9"/>
      <c r="R379" s="7" t="str">
        <f aca="false">IF(P379="",N379,P379)</f>
        <v>regra sem propriedade</v>
      </c>
      <c r="S379" s="7" t="str">
        <f aca="false">IF(P379="","",IF(P379=N379,"sim","não"))</f>
        <v/>
      </c>
      <c r="T379" s="10" t="s">
        <v>583</v>
      </c>
    </row>
    <row r="380" customFormat="false" ht="23.85" hidden="false" customHeight="false" outlineLevel="0" collapsed="false">
      <c r="A380" s="7" t="n">
        <v>378</v>
      </c>
      <c r="B380" s="7" t="s">
        <v>343</v>
      </c>
      <c r="C380" s="7" t="s">
        <v>33</v>
      </c>
      <c r="D380" s="7" t="s">
        <v>398</v>
      </c>
      <c r="E380" s="7" t="n">
        <v>96</v>
      </c>
      <c r="F380" s="7" t="s">
        <v>548</v>
      </c>
      <c r="G380" s="7" t="s">
        <v>392</v>
      </c>
      <c r="H380" s="7" t="s">
        <v>95</v>
      </c>
      <c r="I380" s="7" t="n">
        <v>0</v>
      </c>
      <c r="J380" s="8" t="n">
        <v>0</v>
      </c>
      <c r="K380" s="8" t="n">
        <v>0</v>
      </c>
      <c r="L380" s="8" t="n">
        <v>0</v>
      </c>
      <c r="M380" s="7" t="s">
        <v>38</v>
      </c>
      <c r="N380" s="7" t="s">
        <v>304</v>
      </c>
      <c r="O380" s="7" t="s">
        <v>305</v>
      </c>
      <c r="P380" s="9"/>
      <c r="Q380" s="9"/>
      <c r="R380" s="7" t="str">
        <f aca="false">IF(P380="",N380,P380)</f>
        <v>regra sem propriedade</v>
      </c>
      <c r="S380" s="7" t="str">
        <f aca="false">IF(P380="","",IF(P380=N380,"sim","não"))</f>
        <v/>
      </c>
      <c r="T380" s="10" t="s">
        <v>584</v>
      </c>
    </row>
    <row r="381" customFormat="false" ht="23.85" hidden="false" customHeight="false" outlineLevel="0" collapsed="false">
      <c r="A381" s="7" t="n">
        <v>379</v>
      </c>
      <c r="B381" s="7" t="s">
        <v>343</v>
      </c>
      <c r="C381" s="7" t="s">
        <v>33</v>
      </c>
      <c r="D381" s="7" t="s">
        <v>398</v>
      </c>
      <c r="E381" s="7" t="n">
        <v>99</v>
      </c>
      <c r="F381" s="7" t="s">
        <v>460</v>
      </c>
      <c r="G381" s="7" t="s">
        <v>461</v>
      </c>
      <c r="H381" s="7" t="s">
        <v>95</v>
      </c>
      <c r="I381" s="7" t="n">
        <v>0</v>
      </c>
      <c r="J381" s="8" t="n">
        <v>0</v>
      </c>
      <c r="K381" s="8" t="n">
        <v>0</v>
      </c>
      <c r="L381" s="8" t="n">
        <v>0</v>
      </c>
      <c r="M381" s="7" t="s">
        <v>38</v>
      </c>
      <c r="N381" s="7" t="s">
        <v>304</v>
      </c>
      <c r="O381" s="7" t="s">
        <v>305</v>
      </c>
      <c r="P381" s="9"/>
      <c r="Q381" s="9"/>
      <c r="R381" s="7" t="str">
        <f aca="false">IF(P381="",N381,P381)</f>
        <v>regra sem propriedade</v>
      </c>
      <c r="S381" s="7" t="str">
        <f aca="false">IF(P381="","",IF(P381=N381,"sim","não"))</f>
        <v/>
      </c>
      <c r="T381" s="10" t="s">
        <v>462</v>
      </c>
    </row>
    <row r="382" customFormat="false" ht="23.85" hidden="false" customHeight="false" outlineLevel="0" collapsed="false">
      <c r="A382" s="7" t="n">
        <v>380</v>
      </c>
      <c r="B382" s="7" t="s">
        <v>343</v>
      </c>
      <c r="C382" s="7" t="s">
        <v>33</v>
      </c>
      <c r="D382" s="7" t="s">
        <v>398</v>
      </c>
      <c r="E382" s="7" t="n">
        <v>108</v>
      </c>
      <c r="F382" s="7" t="s">
        <v>180</v>
      </c>
      <c r="G382" s="7" t="s">
        <v>461</v>
      </c>
      <c r="H382" s="7" t="s">
        <v>182</v>
      </c>
      <c r="I382" s="7" t="n">
        <v>0</v>
      </c>
      <c r="J382" s="8" t="n">
        <v>0</v>
      </c>
      <c r="K382" s="8" t="n">
        <v>0</v>
      </c>
      <c r="L382" s="8" t="n">
        <v>0</v>
      </c>
      <c r="M382" s="7" t="s">
        <v>38</v>
      </c>
      <c r="N382" s="7" t="s">
        <v>304</v>
      </c>
      <c r="O382" s="7" t="s">
        <v>330</v>
      </c>
      <c r="P382" s="9"/>
      <c r="Q382" s="9"/>
      <c r="R382" s="7" t="str">
        <f aca="false">IF(P382="",N382,P382)</f>
        <v>regra sem propriedade</v>
      </c>
      <c r="S382" s="7" t="str">
        <f aca="false">IF(P382="","",IF(P382=N382,"sim","não"))</f>
        <v/>
      </c>
      <c r="T382" s="10" t="s">
        <v>463</v>
      </c>
    </row>
    <row r="383" customFormat="false" ht="23.85" hidden="false" customHeight="false" outlineLevel="0" collapsed="false">
      <c r="A383" s="7" t="n">
        <v>381</v>
      </c>
      <c r="B383" s="7" t="s">
        <v>343</v>
      </c>
      <c r="C383" s="7" t="s">
        <v>33</v>
      </c>
      <c r="D383" s="7" t="s">
        <v>398</v>
      </c>
      <c r="E383" s="7" t="n">
        <v>116</v>
      </c>
      <c r="F383" s="7" t="s">
        <v>585</v>
      </c>
      <c r="G383" s="7" t="s">
        <v>350</v>
      </c>
      <c r="H383" s="7" t="s">
        <v>147</v>
      </c>
      <c r="I383" s="7" t="n">
        <v>0</v>
      </c>
      <c r="J383" s="8" t="n">
        <v>0</v>
      </c>
      <c r="K383" s="8" t="n">
        <v>0</v>
      </c>
      <c r="L383" s="8" t="n">
        <v>0</v>
      </c>
      <c r="M383" s="7" t="s">
        <v>38</v>
      </c>
      <c r="N383" s="7" t="s">
        <v>304</v>
      </c>
      <c r="O383" s="7" t="s">
        <v>318</v>
      </c>
      <c r="P383" s="9"/>
      <c r="Q383" s="9"/>
      <c r="R383" s="7" t="str">
        <f aca="false">IF(P383="",N383,P383)</f>
        <v>regra sem propriedade</v>
      </c>
      <c r="S383" s="7" t="str">
        <f aca="false">IF(P383="","",IF(P383=N383,"sim","não"))</f>
        <v/>
      </c>
      <c r="T383" s="10" t="s">
        <v>586</v>
      </c>
    </row>
    <row r="384" customFormat="false" ht="23.85" hidden="false" customHeight="false" outlineLevel="0" collapsed="false">
      <c r="A384" s="7" t="n">
        <v>382</v>
      </c>
      <c r="B384" s="7" t="s">
        <v>343</v>
      </c>
      <c r="C384" s="7" t="s">
        <v>33</v>
      </c>
      <c r="D384" s="7" t="s">
        <v>398</v>
      </c>
      <c r="E384" s="7" t="n">
        <v>116</v>
      </c>
      <c r="F384" s="7" t="s">
        <v>585</v>
      </c>
      <c r="G384" s="7" t="s">
        <v>358</v>
      </c>
      <c r="H384" s="7" t="s">
        <v>147</v>
      </c>
      <c r="I384" s="7" t="n">
        <v>0</v>
      </c>
      <c r="J384" s="8" t="n">
        <v>0</v>
      </c>
      <c r="K384" s="8" t="n">
        <v>0</v>
      </c>
      <c r="L384" s="8" t="n">
        <v>0</v>
      </c>
      <c r="M384" s="7" t="s">
        <v>38</v>
      </c>
      <c r="N384" s="7" t="s">
        <v>304</v>
      </c>
      <c r="O384" s="7" t="s">
        <v>318</v>
      </c>
      <c r="P384" s="9"/>
      <c r="Q384" s="9"/>
      <c r="R384" s="7" t="str">
        <f aca="false">IF(P384="",N384,P384)</f>
        <v>regra sem propriedade</v>
      </c>
      <c r="S384" s="7" t="str">
        <f aca="false">IF(P384="","",IF(P384=N384,"sim","não"))</f>
        <v/>
      </c>
      <c r="T384" s="10" t="s">
        <v>587</v>
      </c>
    </row>
    <row r="385" customFormat="false" ht="23.85" hidden="false" customHeight="false" outlineLevel="0" collapsed="false">
      <c r="A385" s="7" t="n">
        <v>383</v>
      </c>
      <c r="B385" s="7" t="s">
        <v>343</v>
      </c>
      <c r="C385" s="7" t="s">
        <v>33</v>
      </c>
      <c r="D385" s="7" t="s">
        <v>398</v>
      </c>
      <c r="E385" s="7" t="n">
        <v>117</v>
      </c>
      <c r="F385" s="7" t="s">
        <v>588</v>
      </c>
      <c r="G385" s="7" t="s">
        <v>392</v>
      </c>
      <c r="H385" s="7" t="s">
        <v>147</v>
      </c>
      <c r="I385" s="7" t="n">
        <v>0</v>
      </c>
      <c r="J385" s="8" t="n">
        <v>0</v>
      </c>
      <c r="K385" s="8" t="n">
        <v>0</v>
      </c>
      <c r="L385" s="8" t="n">
        <v>0</v>
      </c>
      <c r="M385" s="7" t="s">
        <v>38</v>
      </c>
      <c r="N385" s="7" t="s">
        <v>304</v>
      </c>
      <c r="O385" s="7" t="s">
        <v>318</v>
      </c>
      <c r="P385" s="9"/>
      <c r="Q385" s="9"/>
      <c r="R385" s="7" t="str">
        <f aca="false">IF(P385="",N385,P385)</f>
        <v>regra sem propriedade</v>
      </c>
      <c r="S385" s="7" t="str">
        <f aca="false">IF(P385="","",IF(P385=N385,"sim","não"))</f>
        <v/>
      </c>
      <c r="T385" s="10" t="s">
        <v>589</v>
      </c>
    </row>
    <row r="386" customFormat="false" ht="23.85" hidden="false" customHeight="false" outlineLevel="0" collapsed="false">
      <c r="A386" s="7" t="n">
        <v>384</v>
      </c>
      <c r="B386" s="7" t="s">
        <v>343</v>
      </c>
      <c r="C386" s="7" t="s">
        <v>33</v>
      </c>
      <c r="D386" s="7" t="s">
        <v>398</v>
      </c>
      <c r="E386" s="7" t="n">
        <v>126</v>
      </c>
      <c r="F386" s="7" t="s">
        <v>464</v>
      </c>
      <c r="G386" s="7" t="s">
        <v>461</v>
      </c>
      <c r="H386" s="7" t="s">
        <v>185</v>
      </c>
      <c r="I386" s="7" t="n">
        <v>0</v>
      </c>
      <c r="J386" s="8" t="n">
        <v>0</v>
      </c>
      <c r="K386" s="8" t="n">
        <v>0</v>
      </c>
      <c r="L386" s="8" t="n">
        <v>0</v>
      </c>
      <c r="M386" s="7" t="s">
        <v>38</v>
      </c>
      <c r="N386" s="7" t="s">
        <v>304</v>
      </c>
      <c r="O386" s="7" t="s">
        <v>333</v>
      </c>
      <c r="P386" s="9"/>
      <c r="Q386" s="9"/>
      <c r="R386" s="7" t="str">
        <f aca="false">IF(P386="",N386,P386)</f>
        <v>regra sem propriedade</v>
      </c>
      <c r="S386" s="7" t="str">
        <f aca="false">IF(P386="","",IF(P386=N386,"sim","não"))</f>
        <v/>
      </c>
      <c r="T386" s="10" t="s">
        <v>465</v>
      </c>
    </row>
    <row r="387" customFormat="false" ht="23.85" hidden="false" customHeight="false" outlineLevel="0" collapsed="false">
      <c r="A387" s="7" t="n">
        <v>385</v>
      </c>
      <c r="B387" s="7" t="s">
        <v>343</v>
      </c>
      <c r="C387" s="7" t="s">
        <v>33</v>
      </c>
      <c r="D387" s="7" t="s">
        <v>398</v>
      </c>
      <c r="E387" s="7" t="n">
        <v>127</v>
      </c>
      <c r="F387" s="7" t="s">
        <v>187</v>
      </c>
      <c r="G387" s="7" t="s">
        <v>350</v>
      </c>
      <c r="H387" s="7" t="s">
        <v>185</v>
      </c>
      <c r="I387" s="7" t="n">
        <v>0</v>
      </c>
      <c r="J387" s="8" t="n">
        <v>0</v>
      </c>
      <c r="K387" s="8" t="n">
        <v>0</v>
      </c>
      <c r="L387" s="8" t="n">
        <v>0</v>
      </c>
      <c r="M387" s="7" t="s">
        <v>38</v>
      </c>
      <c r="N387" s="7" t="s">
        <v>304</v>
      </c>
      <c r="O387" s="7" t="s">
        <v>333</v>
      </c>
      <c r="P387" s="9"/>
      <c r="Q387" s="9"/>
      <c r="R387" s="7" t="str">
        <f aca="false">IF(P387="",N387,P387)</f>
        <v>regra sem propriedade</v>
      </c>
      <c r="S387" s="7" t="str">
        <f aca="false">IF(P387="","",IF(P387=N387,"sim","não"))</f>
        <v/>
      </c>
      <c r="T387" s="10" t="s">
        <v>466</v>
      </c>
    </row>
    <row r="388" customFormat="false" ht="23.85" hidden="false" customHeight="false" outlineLevel="0" collapsed="false">
      <c r="A388" s="7" t="n">
        <v>386</v>
      </c>
      <c r="B388" s="7" t="s">
        <v>343</v>
      </c>
      <c r="C388" s="7" t="s">
        <v>33</v>
      </c>
      <c r="D388" s="7" t="s">
        <v>398</v>
      </c>
      <c r="E388" s="7" t="n">
        <v>127</v>
      </c>
      <c r="F388" s="7" t="s">
        <v>187</v>
      </c>
      <c r="G388" s="7" t="s">
        <v>358</v>
      </c>
      <c r="H388" s="7" t="s">
        <v>185</v>
      </c>
      <c r="I388" s="7" t="n">
        <v>0</v>
      </c>
      <c r="J388" s="8" t="n">
        <v>0</v>
      </c>
      <c r="K388" s="8" t="n">
        <v>0</v>
      </c>
      <c r="L388" s="8" t="n">
        <v>0</v>
      </c>
      <c r="M388" s="7" t="s">
        <v>38</v>
      </c>
      <c r="N388" s="7" t="s">
        <v>304</v>
      </c>
      <c r="O388" s="7" t="s">
        <v>333</v>
      </c>
      <c r="P388" s="9"/>
      <c r="Q388" s="9"/>
      <c r="R388" s="7" t="str">
        <f aca="false">IF(P388="",N388,P388)</f>
        <v>regra sem propriedade</v>
      </c>
      <c r="S388" s="7" t="str">
        <f aca="false">IF(P388="","",IF(P388=N388,"sim","não"))</f>
        <v/>
      </c>
      <c r="T388" s="10" t="s">
        <v>467</v>
      </c>
    </row>
    <row r="389" customFormat="false" ht="23.85" hidden="false" customHeight="false" outlineLevel="0" collapsed="false">
      <c r="A389" s="7" t="n">
        <v>387</v>
      </c>
      <c r="B389" s="7" t="s">
        <v>343</v>
      </c>
      <c r="C389" s="7" t="s">
        <v>33</v>
      </c>
      <c r="D389" s="7" t="s">
        <v>398</v>
      </c>
      <c r="E389" s="7" t="n">
        <v>127</v>
      </c>
      <c r="F389" s="7" t="s">
        <v>187</v>
      </c>
      <c r="G389" s="7" t="s">
        <v>468</v>
      </c>
      <c r="H389" s="7" t="s">
        <v>185</v>
      </c>
      <c r="I389" s="7" t="n">
        <v>0</v>
      </c>
      <c r="J389" s="8" t="n">
        <v>0</v>
      </c>
      <c r="K389" s="8" t="n">
        <v>0</v>
      </c>
      <c r="L389" s="8" t="n">
        <v>0</v>
      </c>
      <c r="M389" s="7" t="s">
        <v>38</v>
      </c>
      <c r="N389" s="7" t="s">
        <v>304</v>
      </c>
      <c r="O389" s="7" t="s">
        <v>333</v>
      </c>
      <c r="P389" s="9"/>
      <c r="Q389" s="9"/>
      <c r="R389" s="7" t="str">
        <f aca="false">IF(P389="",N389,P389)</f>
        <v>regra sem propriedade</v>
      </c>
      <c r="S389" s="7" t="str">
        <f aca="false">IF(P389="","",IF(P389=N389,"sim","não"))</f>
        <v/>
      </c>
      <c r="T389" s="10" t="s">
        <v>469</v>
      </c>
    </row>
    <row r="390" customFormat="false" ht="23.85" hidden="false" customHeight="false" outlineLevel="0" collapsed="false">
      <c r="A390" s="7" t="n">
        <v>388</v>
      </c>
      <c r="B390" s="7" t="s">
        <v>343</v>
      </c>
      <c r="C390" s="7" t="s">
        <v>33</v>
      </c>
      <c r="D390" s="7" t="s">
        <v>398</v>
      </c>
      <c r="E390" s="7" t="n">
        <v>128</v>
      </c>
      <c r="F390" s="7" t="s">
        <v>470</v>
      </c>
      <c r="G390" s="7" t="s">
        <v>392</v>
      </c>
      <c r="H390" s="7" t="s">
        <v>185</v>
      </c>
      <c r="I390" s="7" t="n">
        <v>0</v>
      </c>
      <c r="J390" s="8" t="n">
        <v>0</v>
      </c>
      <c r="K390" s="8" t="n">
        <v>0</v>
      </c>
      <c r="L390" s="8" t="n">
        <v>0</v>
      </c>
      <c r="M390" s="7" t="s">
        <v>38</v>
      </c>
      <c r="N390" s="7" t="s">
        <v>304</v>
      </c>
      <c r="O390" s="7" t="s">
        <v>333</v>
      </c>
      <c r="P390" s="9"/>
      <c r="Q390" s="9"/>
      <c r="R390" s="7" t="str">
        <f aca="false">IF(P390="",N390,P390)</f>
        <v>regra sem propriedade</v>
      </c>
      <c r="S390" s="7" t="str">
        <f aca="false">IF(P390="","",IF(P390=N390,"sim","não"))</f>
        <v/>
      </c>
      <c r="T390" s="10" t="s">
        <v>471</v>
      </c>
    </row>
    <row r="391" customFormat="false" ht="23.85" hidden="false" customHeight="false" outlineLevel="0" collapsed="false">
      <c r="A391" s="7" t="n">
        <v>389</v>
      </c>
      <c r="B391" s="7" t="s">
        <v>343</v>
      </c>
      <c r="C391" s="7" t="s">
        <v>33</v>
      </c>
      <c r="D391" s="7" t="s">
        <v>398</v>
      </c>
      <c r="E391" s="7" t="n">
        <v>131</v>
      </c>
      <c r="F391" s="7" t="s">
        <v>472</v>
      </c>
      <c r="G391" s="7" t="s">
        <v>350</v>
      </c>
      <c r="H391" s="7" t="s">
        <v>185</v>
      </c>
      <c r="I391" s="7" t="n">
        <v>0</v>
      </c>
      <c r="J391" s="8" t="n">
        <v>0</v>
      </c>
      <c r="K391" s="8" t="n">
        <v>0</v>
      </c>
      <c r="L391" s="8" t="n">
        <v>0</v>
      </c>
      <c r="M391" s="7" t="s">
        <v>38</v>
      </c>
      <c r="N391" s="7" t="s">
        <v>304</v>
      </c>
      <c r="O391" s="7" t="s">
        <v>333</v>
      </c>
      <c r="P391" s="9"/>
      <c r="Q391" s="9"/>
      <c r="R391" s="7" t="str">
        <f aca="false">IF(P391="",N391,P391)</f>
        <v>regra sem propriedade</v>
      </c>
      <c r="S391" s="7" t="str">
        <f aca="false">IF(P391="","",IF(P391=N391,"sim","não"))</f>
        <v/>
      </c>
      <c r="T391" s="10" t="s">
        <v>473</v>
      </c>
    </row>
    <row r="392" customFormat="false" ht="23.85" hidden="false" customHeight="false" outlineLevel="0" collapsed="false">
      <c r="A392" s="7" t="n">
        <v>390</v>
      </c>
      <c r="B392" s="7" t="s">
        <v>343</v>
      </c>
      <c r="C392" s="7" t="s">
        <v>33</v>
      </c>
      <c r="D392" s="7" t="s">
        <v>398</v>
      </c>
      <c r="E392" s="7" t="n">
        <v>131</v>
      </c>
      <c r="F392" s="7" t="s">
        <v>472</v>
      </c>
      <c r="G392" s="7" t="s">
        <v>358</v>
      </c>
      <c r="H392" s="7" t="s">
        <v>185</v>
      </c>
      <c r="I392" s="7" t="n">
        <v>0</v>
      </c>
      <c r="J392" s="8" t="n">
        <v>0</v>
      </c>
      <c r="K392" s="8" t="n">
        <v>0</v>
      </c>
      <c r="L392" s="8" t="n">
        <v>0</v>
      </c>
      <c r="M392" s="7" t="s">
        <v>38</v>
      </c>
      <c r="N392" s="7" t="s">
        <v>304</v>
      </c>
      <c r="O392" s="7" t="s">
        <v>333</v>
      </c>
      <c r="P392" s="9"/>
      <c r="Q392" s="9"/>
      <c r="R392" s="7" t="str">
        <f aca="false">IF(P392="",N392,P392)</f>
        <v>regra sem propriedade</v>
      </c>
      <c r="S392" s="7" t="str">
        <f aca="false">IF(P392="","",IF(P392=N392,"sim","não"))</f>
        <v/>
      </c>
      <c r="T392" s="10" t="s">
        <v>474</v>
      </c>
    </row>
    <row r="393" customFormat="false" ht="23.85" hidden="false" customHeight="false" outlineLevel="0" collapsed="false">
      <c r="A393" s="7" t="n">
        <v>391</v>
      </c>
      <c r="B393" s="7" t="s">
        <v>343</v>
      </c>
      <c r="C393" s="7" t="s">
        <v>33</v>
      </c>
      <c r="D393" s="7" t="s">
        <v>398</v>
      </c>
      <c r="E393" s="7" t="n">
        <v>132</v>
      </c>
      <c r="F393" s="7" t="s">
        <v>475</v>
      </c>
      <c r="G393" s="7" t="s">
        <v>392</v>
      </c>
      <c r="H393" s="7" t="s">
        <v>185</v>
      </c>
      <c r="I393" s="7" t="n">
        <v>0</v>
      </c>
      <c r="J393" s="8" t="n">
        <v>0</v>
      </c>
      <c r="K393" s="8" t="n">
        <v>0</v>
      </c>
      <c r="L393" s="8" t="n">
        <v>0</v>
      </c>
      <c r="M393" s="7" t="s">
        <v>38</v>
      </c>
      <c r="N393" s="7" t="s">
        <v>304</v>
      </c>
      <c r="O393" s="7" t="s">
        <v>333</v>
      </c>
      <c r="P393" s="9"/>
      <c r="Q393" s="9"/>
      <c r="R393" s="7" t="str">
        <f aca="false">IF(P393="",N393,P393)</f>
        <v>regra sem propriedade</v>
      </c>
      <c r="S393" s="7" t="str">
        <f aca="false">IF(P393="","",IF(P393=N393,"sim","não"))</f>
        <v/>
      </c>
      <c r="T393" s="10" t="s">
        <v>476</v>
      </c>
    </row>
    <row r="394" customFormat="false" ht="23.85" hidden="false" customHeight="false" outlineLevel="0" collapsed="false">
      <c r="A394" s="7" t="n">
        <v>392</v>
      </c>
      <c r="B394" s="7" t="s">
        <v>343</v>
      </c>
      <c r="C394" s="7" t="s">
        <v>33</v>
      </c>
      <c r="D394" s="7" t="s">
        <v>398</v>
      </c>
      <c r="E394" s="7" t="n">
        <v>139</v>
      </c>
      <c r="F394" s="7" t="s">
        <v>590</v>
      </c>
      <c r="G394" s="7" t="s">
        <v>350</v>
      </c>
      <c r="H394" s="7" t="s">
        <v>240</v>
      </c>
      <c r="I394" s="7" t="n">
        <v>0</v>
      </c>
      <c r="J394" s="8" t="n">
        <v>0</v>
      </c>
      <c r="K394" s="8" t="n">
        <v>0</v>
      </c>
      <c r="L394" s="8" t="n">
        <v>0</v>
      </c>
      <c r="M394" s="7" t="s">
        <v>38</v>
      </c>
      <c r="N394" s="7" t="s">
        <v>304</v>
      </c>
      <c r="O394" s="7" t="s">
        <v>313</v>
      </c>
      <c r="P394" s="9"/>
      <c r="Q394" s="9"/>
      <c r="R394" s="7" t="str">
        <f aca="false">IF(P394="",N394,P394)</f>
        <v>regra sem propriedade</v>
      </c>
      <c r="S394" s="7" t="str">
        <f aca="false">IF(P394="","",IF(P394=N394,"sim","não"))</f>
        <v/>
      </c>
      <c r="T394" s="10" t="s">
        <v>591</v>
      </c>
    </row>
    <row r="395" customFormat="false" ht="23.85" hidden="false" customHeight="false" outlineLevel="0" collapsed="false">
      <c r="A395" s="7" t="n">
        <v>393</v>
      </c>
      <c r="B395" s="7" t="s">
        <v>343</v>
      </c>
      <c r="C395" s="7" t="s">
        <v>33</v>
      </c>
      <c r="D395" s="7" t="s">
        <v>398</v>
      </c>
      <c r="E395" s="7" t="n">
        <v>141</v>
      </c>
      <c r="F395" s="7" t="s">
        <v>272</v>
      </c>
      <c r="G395" s="7" t="s">
        <v>461</v>
      </c>
      <c r="H395" s="7" t="s">
        <v>240</v>
      </c>
      <c r="I395" s="7" t="n">
        <v>0</v>
      </c>
      <c r="J395" s="8" t="n">
        <v>0</v>
      </c>
      <c r="K395" s="8" t="n">
        <v>0</v>
      </c>
      <c r="L395" s="8" t="n">
        <v>0</v>
      </c>
      <c r="M395" s="7" t="s">
        <v>38</v>
      </c>
      <c r="N395" s="7" t="s">
        <v>304</v>
      </c>
      <c r="O395" s="7" t="s">
        <v>313</v>
      </c>
      <c r="P395" s="9"/>
      <c r="Q395" s="9"/>
      <c r="R395" s="7" t="str">
        <f aca="false">IF(P395="",N395,P395)</f>
        <v>regra sem propriedade</v>
      </c>
      <c r="S395" s="7" t="str">
        <f aca="false">IF(P395="","",IF(P395=N395,"sim","não"))</f>
        <v/>
      </c>
      <c r="T395" s="10" t="s">
        <v>592</v>
      </c>
    </row>
    <row r="396" customFormat="false" ht="23.85" hidden="false" customHeight="false" outlineLevel="0" collapsed="false">
      <c r="A396" s="7" t="n">
        <v>394</v>
      </c>
      <c r="B396" s="7" t="s">
        <v>343</v>
      </c>
      <c r="C396" s="7" t="s">
        <v>33</v>
      </c>
      <c r="D396" s="7" t="s">
        <v>398</v>
      </c>
      <c r="E396" s="7" t="n">
        <v>161</v>
      </c>
      <c r="F396" s="7" t="s">
        <v>481</v>
      </c>
      <c r="G396" s="7" t="s">
        <v>350</v>
      </c>
      <c r="H396" s="7" t="s">
        <v>198</v>
      </c>
      <c r="I396" s="7" t="n">
        <v>0</v>
      </c>
      <c r="J396" s="8" t="n">
        <v>0</v>
      </c>
      <c r="K396" s="8" t="n">
        <v>0</v>
      </c>
      <c r="L396" s="8" t="n">
        <v>0</v>
      </c>
      <c r="M396" s="7" t="s">
        <v>38</v>
      </c>
      <c r="N396" s="7" t="s">
        <v>304</v>
      </c>
      <c r="O396" s="7" t="s">
        <v>340</v>
      </c>
      <c r="P396" s="9"/>
      <c r="Q396" s="9"/>
      <c r="R396" s="7" t="str">
        <f aca="false">IF(P396="",N396,P396)</f>
        <v>regra sem propriedade</v>
      </c>
      <c r="S396" s="7" t="str">
        <f aca="false">IF(P396="","",IF(P396=N396,"sim","não"))</f>
        <v/>
      </c>
      <c r="T396" s="10" t="s">
        <v>482</v>
      </c>
    </row>
    <row r="397" customFormat="false" ht="23.85" hidden="false" customHeight="false" outlineLevel="0" collapsed="false">
      <c r="A397" s="7" t="n">
        <v>395</v>
      </c>
      <c r="B397" s="7" t="s">
        <v>343</v>
      </c>
      <c r="C397" s="7" t="s">
        <v>33</v>
      </c>
      <c r="D397" s="7" t="s">
        <v>398</v>
      </c>
      <c r="E397" s="7" t="n">
        <v>161</v>
      </c>
      <c r="F397" s="7" t="s">
        <v>481</v>
      </c>
      <c r="G397" s="7" t="s">
        <v>358</v>
      </c>
      <c r="H397" s="7" t="s">
        <v>198</v>
      </c>
      <c r="I397" s="7" t="n">
        <v>0</v>
      </c>
      <c r="J397" s="8" t="n">
        <v>0</v>
      </c>
      <c r="K397" s="8" t="n">
        <v>0</v>
      </c>
      <c r="L397" s="8" t="n">
        <v>0</v>
      </c>
      <c r="M397" s="7" t="s">
        <v>38</v>
      </c>
      <c r="N397" s="7" t="s">
        <v>304</v>
      </c>
      <c r="O397" s="7" t="s">
        <v>340</v>
      </c>
      <c r="P397" s="9"/>
      <c r="Q397" s="9"/>
      <c r="R397" s="7" t="str">
        <f aca="false">IF(P397="",N397,P397)</f>
        <v>regra sem propriedade</v>
      </c>
      <c r="S397" s="7" t="str">
        <f aca="false">IF(P397="","",IF(P397=N397,"sim","não"))</f>
        <v/>
      </c>
      <c r="T397" s="10" t="s">
        <v>483</v>
      </c>
    </row>
    <row r="398" customFormat="false" ht="23.85" hidden="false" customHeight="false" outlineLevel="0" collapsed="false">
      <c r="A398" s="7" t="n">
        <v>396</v>
      </c>
      <c r="B398" s="7" t="s">
        <v>343</v>
      </c>
      <c r="C398" s="7" t="s">
        <v>33</v>
      </c>
      <c r="D398" s="7" t="s">
        <v>398</v>
      </c>
      <c r="E398" s="7" t="n">
        <v>162</v>
      </c>
      <c r="F398" s="7" t="s">
        <v>484</v>
      </c>
      <c r="G398" s="7" t="s">
        <v>392</v>
      </c>
      <c r="H398" s="7" t="s">
        <v>198</v>
      </c>
      <c r="I398" s="7" t="n">
        <v>0</v>
      </c>
      <c r="J398" s="8" t="n">
        <v>0</v>
      </c>
      <c r="K398" s="8" t="n">
        <v>0</v>
      </c>
      <c r="L398" s="8" t="n">
        <v>0</v>
      </c>
      <c r="M398" s="7" t="s">
        <v>38</v>
      </c>
      <c r="N398" s="7" t="s">
        <v>304</v>
      </c>
      <c r="O398" s="7" t="s">
        <v>340</v>
      </c>
      <c r="P398" s="9"/>
      <c r="Q398" s="9"/>
      <c r="R398" s="7" t="str">
        <f aca="false">IF(P398="",N398,P398)</f>
        <v>regra sem propriedade</v>
      </c>
      <c r="S398" s="7" t="str">
        <f aca="false">IF(P398="","",IF(P398=N398,"sim","não"))</f>
        <v/>
      </c>
      <c r="T398" s="10" t="s">
        <v>485</v>
      </c>
    </row>
    <row r="399" customFormat="false" ht="23.85" hidden="false" customHeight="false" outlineLevel="0" collapsed="false">
      <c r="A399" s="7" t="n">
        <v>397</v>
      </c>
      <c r="B399" s="7" t="s">
        <v>343</v>
      </c>
      <c r="C399" s="7" t="s">
        <v>33</v>
      </c>
      <c r="D399" s="7" t="s">
        <v>398</v>
      </c>
      <c r="E399" s="7" t="n">
        <v>228</v>
      </c>
      <c r="F399" s="7" t="s">
        <v>593</v>
      </c>
      <c r="G399" s="7" t="s">
        <v>350</v>
      </c>
      <c r="H399" s="7" t="s">
        <v>233</v>
      </c>
      <c r="I399" s="7" t="n">
        <v>0</v>
      </c>
      <c r="J399" s="8" t="n">
        <v>0</v>
      </c>
      <c r="K399" s="8" t="n">
        <v>0</v>
      </c>
      <c r="L399" s="8" t="n">
        <v>0</v>
      </c>
      <c r="M399" s="7" t="s">
        <v>38</v>
      </c>
      <c r="N399" s="7" t="s">
        <v>304</v>
      </c>
      <c r="O399" s="7" t="s">
        <v>322</v>
      </c>
      <c r="P399" s="9"/>
      <c r="Q399" s="9"/>
      <c r="R399" s="7" t="str">
        <f aca="false">IF(P399="",N399,P399)</f>
        <v>regra sem propriedade</v>
      </c>
      <c r="S399" s="7" t="str">
        <f aca="false">IF(P399="","",IF(P399=N399,"sim","não"))</f>
        <v/>
      </c>
      <c r="T399" s="10" t="s">
        <v>594</v>
      </c>
    </row>
    <row r="400" customFormat="false" ht="23.85" hidden="false" customHeight="false" outlineLevel="0" collapsed="false">
      <c r="A400" s="7" t="n">
        <v>398</v>
      </c>
      <c r="B400" s="7" t="s">
        <v>343</v>
      </c>
      <c r="C400" s="7" t="s">
        <v>33</v>
      </c>
      <c r="D400" s="7" t="s">
        <v>398</v>
      </c>
      <c r="E400" s="7" t="n">
        <v>229</v>
      </c>
      <c r="F400" s="7" t="s">
        <v>595</v>
      </c>
      <c r="G400" s="7" t="s">
        <v>350</v>
      </c>
      <c r="H400" s="7" t="s">
        <v>233</v>
      </c>
      <c r="I400" s="7" t="n">
        <v>0</v>
      </c>
      <c r="J400" s="8" t="n">
        <v>0</v>
      </c>
      <c r="K400" s="8" t="n">
        <v>0</v>
      </c>
      <c r="L400" s="8" t="n">
        <v>0</v>
      </c>
      <c r="M400" s="7" t="s">
        <v>38</v>
      </c>
      <c r="N400" s="7" t="s">
        <v>304</v>
      </c>
      <c r="O400" s="7" t="s">
        <v>322</v>
      </c>
      <c r="P400" s="9"/>
      <c r="Q400" s="9"/>
      <c r="R400" s="7" t="str">
        <f aca="false">IF(P400="",N400,P400)</f>
        <v>regra sem propriedade</v>
      </c>
      <c r="S400" s="7" t="str">
        <f aca="false">IF(P400="","",IF(P400=N400,"sim","não"))</f>
        <v/>
      </c>
      <c r="T400" s="10" t="s">
        <v>596</v>
      </c>
    </row>
    <row r="401" customFormat="false" ht="23.85" hidden="false" customHeight="false" outlineLevel="0" collapsed="false">
      <c r="A401" s="7" t="n">
        <v>399</v>
      </c>
      <c r="B401" s="7" t="s">
        <v>343</v>
      </c>
      <c r="C401" s="7" t="s">
        <v>33</v>
      </c>
      <c r="D401" s="7" t="s">
        <v>398</v>
      </c>
      <c r="E401" s="7" t="n">
        <v>229</v>
      </c>
      <c r="F401" s="7" t="s">
        <v>595</v>
      </c>
      <c r="G401" s="7" t="s">
        <v>358</v>
      </c>
      <c r="H401" s="7" t="s">
        <v>233</v>
      </c>
      <c r="I401" s="7" t="n">
        <v>0</v>
      </c>
      <c r="J401" s="8" t="n">
        <v>0</v>
      </c>
      <c r="K401" s="8" t="n">
        <v>0</v>
      </c>
      <c r="L401" s="8" t="n">
        <v>0</v>
      </c>
      <c r="M401" s="7" t="s">
        <v>38</v>
      </c>
      <c r="N401" s="7" t="s">
        <v>304</v>
      </c>
      <c r="O401" s="7" t="s">
        <v>322</v>
      </c>
      <c r="P401" s="9"/>
      <c r="Q401" s="9"/>
      <c r="R401" s="7" t="str">
        <f aca="false">IF(P401="",N401,P401)</f>
        <v>regra sem propriedade</v>
      </c>
      <c r="S401" s="7" t="str">
        <f aca="false">IF(P401="","",IF(P401=N401,"sim","não"))</f>
        <v/>
      </c>
      <c r="T401" s="10" t="s">
        <v>597</v>
      </c>
    </row>
    <row r="402" customFormat="false" ht="23.85" hidden="false" customHeight="false" outlineLevel="0" collapsed="false">
      <c r="A402" s="7" t="n">
        <v>400</v>
      </c>
      <c r="B402" s="7" t="s">
        <v>343</v>
      </c>
      <c r="C402" s="7" t="s">
        <v>33</v>
      </c>
      <c r="D402" s="7" t="s">
        <v>398</v>
      </c>
      <c r="E402" s="7" t="n">
        <v>230</v>
      </c>
      <c r="F402" s="7" t="s">
        <v>598</v>
      </c>
      <c r="G402" s="7" t="s">
        <v>392</v>
      </c>
      <c r="H402" s="7" t="s">
        <v>233</v>
      </c>
      <c r="I402" s="7" t="n">
        <v>0</v>
      </c>
      <c r="J402" s="8" t="n">
        <v>0</v>
      </c>
      <c r="K402" s="8" t="n">
        <v>0</v>
      </c>
      <c r="L402" s="8" t="n">
        <v>0</v>
      </c>
      <c r="M402" s="7" t="s">
        <v>38</v>
      </c>
      <c r="N402" s="7" t="s">
        <v>304</v>
      </c>
      <c r="O402" s="7" t="s">
        <v>322</v>
      </c>
      <c r="P402" s="9"/>
      <c r="Q402" s="9"/>
      <c r="R402" s="7" t="str">
        <f aca="false">IF(P402="",N402,P402)</f>
        <v>regra sem propriedade</v>
      </c>
      <c r="S402" s="7" t="str">
        <f aca="false">IF(P402="","",IF(P402=N402,"sim","não"))</f>
        <v/>
      </c>
      <c r="T402" s="10" t="s">
        <v>599</v>
      </c>
    </row>
  </sheetData>
  <autoFilter ref="A1:T402"/>
  <conditionalFormatting sqref="S3:S402">
    <cfRule type="expression" priority="2" aboveAverage="0" equalAverage="0" bottom="0" percent="0" rank="0" text="" dxfId="7">
      <formula>$S3="não"</formula>
    </cfRule>
  </conditionalFormatting>
  <dataValidations count="1">
    <dataValidation allowBlank="true" error="Escolha uma das quatro classes da lista." errorStyle="stop" errorTitle="Classe inválida" operator="between" showDropDown="false" showErrorMessage="true" showInputMessage="false" sqref="P3:P402" type="list">
      <formula1>"entrada não gerada,oráculo fraco,regra sem propriedade,equivalente"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9" min="3" style="0" width="16"/>
  </cols>
  <sheetData>
    <row r="1" customFormat="false" ht="17.35" hidden="false" customHeight="false" outlineLevel="0" collapsed="false">
      <c r="A1" s="1" t="s">
        <v>600</v>
      </c>
    </row>
    <row r="3" customFormat="false" ht="23.85" hidden="false" customHeight="false" outlineLevel="0" collapsed="false">
      <c r="A3" s="4" t="s">
        <v>12</v>
      </c>
      <c r="B3" s="4" t="s">
        <v>13</v>
      </c>
      <c r="C3" s="4" t="s">
        <v>39</v>
      </c>
      <c r="D3" s="4" t="s">
        <v>219</v>
      </c>
      <c r="E3" s="4" t="s">
        <v>304</v>
      </c>
      <c r="F3" s="4" t="s">
        <v>212</v>
      </c>
      <c r="G3" s="4" t="s">
        <v>601</v>
      </c>
      <c r="H3" s="4" t="s">
        <v>602</v>
      </c>
      <c r="I3" s="4" t="s">
        <v>603</v>
      </c>
    </row>
    <row r="4" customFormat="false" ht="15" hidden="false" customHeight="false" outlineLevel="0" collapsed="false">
      <c r="A4" s="11" t="s">
        <v>32</v>
      </c>
      <c r="B4" s="11" t="s">
        <v>33</v>
      </c>
      <c r="C4" s="11" t="n">
        <f aca="false">COUNTIFS(Mutantes!$B$3:$B$402,$A4,Mutantes!$C$3:$C$402,$B4,Mutantes!$R$3:$R$402,C$3)</f>
        <v>23</v>
      </c>
      <c r="D4" s="11" t="n">
        <f aca="false">COUNTIFS(Mutantes!$B$3:$B$402,$A4,Mutantes!$C$3:$C$402,$B4,Mutantes!$R$3:$R$402,D$3)</f>
        <v>27</v>
      </c>
      <c r="E4" s="11" t="n">
        <f aca="false">COUNTIFS(Mutantes!$B$3:$B$402,$A4,Mutantes!$C$3:$C$402,$B4,Mutantes!$R$3:$R$402,E$3)</f>
        <v>54</v>
      </c>
      <c r="F4" s="11" t="n">
        <f aca="false">COUNTIFS(Mutantes!$B$3:$B$402,$A4,Mutantes!$C$3:$C$402,$B4,Mutantes!$R$3:$R$402,F$3)</f>
        <v>2</v>
      </c>
      <c r="G4" s="12" t="n">
        <f aca="false">SUM(C4:F4)</f>
        <v>106</v>
      </c>
      <c r="H4" s="11" t="n">
        <f aca="false">COUNTIFS(Mutantes!$B$3:$B$402,$A4,Mutantes!$C$3:$C$402,$B4,Mutantes!$P$3:$P$402,"&lt;&gt;")</f>
        <v>0</v>
      </c>
      <c r="I4" s="11" t="n">
        <f aca="false">COUNTIFS(Mutantes!$B$3:$B$402,$A4,Mutantes!$C$3:$C$402,$B4,Mutantes!$S$3:$S$402,"não")</f>
        <v>0</v>
      </c>
    </row>
    <row r="5" customFormat="false" ht="15" hidden="false" customHeight="false" outlineLevel="0" collapsed="false">
      <c r="A5" s="11" t="s">
        <v>32</v>
      </c>
      <c r="B5" s="11" t="s">
        <v>42</v>
      </c>
      <c r="C5" s="11" t="n">
        <f aca="false">COUNTIFS(Mutantes!$B$3:$B$402,$A5,Mutantes!$C$3:$C$402,$B5,Mutantes!$R$3:$R$402,C$3)</f>
        <v>61</v>
      </c>
      <c r="D5" s="11" t="n">
        <f aca="false">COUNTIFS(Mutantes!$B$3:$B$402,$A5,Mutantes!$C$3:$C$402,$B5,Mutantes!$R$3:$R$402,D$3)</f>
        <v>11</v>
      </c>
      <c r="E5" s="11" t="n">
        <f aca="false">COUNTIFS(Mutantes!$B$3:$B$402,$A5,Mutantes!$C$3:$C$402,$B5,Mutantes!$R$3:$R$402,E$3)</f>
        <v>0</v>
      </c>
      <c r="F5" s="11" t="n">
        <f aca="false">COUNTIFS(Mutantes!$B$3:$B$402,$A5,Mutantes!$C$3:$C$402,$B5,Mutantes!$R$3:$R$402,F$3)</f>
        <v>2</v>
      </c>
      <c r="G5" s="12" t="n">
        <f aca="false">SUM(C5:F5)</f>
        <v>74</v>
      </c>
      <c r="H5" s="11" t="n">
        <f aca="false">COUNTIFS(Mutantes!$B$3:$B$402,$A5,Mutantes!$C$3:$C$402,$B5,Mutantes!$P$3:$P$402,"&lt;&gt;")</f>
        <v>0</v>
      </c>
      <c r="I5" s="11" t="n">
        <f aca="false">COUNTIFS(Mutantes!$B$3:$B$402,$A5,Mutantes!$C$3:$C$402,$B5,Mutantes!$S$3:$S$402,"não")</f>
        <v>0</v>
      </c>
    </row>
    <row r="6" customFormat="false" ht="15" hidden="false" customHeight="false" outlineLevel="0" collapsed="false">
      <c r="A6" s="11" t="s">
        <v>343</v>
      </c>
      <c r="B6" s="11" t="s">
        <v>33</v>
      </c>
      <c r="C6" s="11" t="n">
        <f aca="false">COUNTIFS(Mutantes!$B$3:$B$402,$A6,Mutantes!$C$3:$C$402,$B6,Mutantes!$R$3:$R$402,C$3)</f>
        <v>15</v>
      </c>
      <c r="D6" s="11" t="n">
        <f aca="false">COUNTIFS(Mutantes!$B$3:$B$402,$A6,Mutantes!$C$3:$C$402,$B6,Mutantes!$R$3:$R$402,D$3)</f>
        <v>26</v>
      </c>
      <c r="E6" s="11" t="n">
        <f aca="false">COUNTIFS(Mutantes!$B$3:$B$402,$A6,Mutantes!$C$3:$C$402,$B6,Mutantes!$R$3:$R$402,E$3)</f>
        <v>88</v>
      </c>
      <c r="F6" s="11" t="n">
        <f aca="false">COUNTIFS(Mutantes!$B$3:$B$402,$A6,Mutantes!$C$3:$C$402,$B6,Mutantes!$R$3:$R$402,F$3)</f>
        <v>8</v>
      </c>
      <c r="G6" s="12" t="n">
        <f aca="false">SUM(C6:F6)</f>
        <v>137</v>
      </c>
      <c r="H6" s="11" t="n">
        <f aca="false">COUNTIFS(Mutantes!$B$3:$B$402,$A6,Mutantes!$C$3:$C$402,$B6,Mutantes!$P$3:$P$402,"&lt;&gt;")</f>
        <v>0</v>
      </c>
      <c r="I6" s="11" t="n">
        <f aca="false">COUNTIFS(Mutantes!$B$3:$B$402,$A6,Mutantes!$C$3:$C$402,$B6,Mutantes!$S$3:$S$402,"não")</f>
        <v>0</v>
      </c>
    </row>
    <row r="7" customFormat="false" ht="15" hidden="false" customHeight="false" outlineLevel="0" collapsed="false">
      <c r="A7" s="11" t="s">
        <v>343</v>
      </c>
      <c r="B7" s="11" t="s">
        <v>42</v>
      </c>
      <c r="C7" s="11" t="n">
        <f aca="false">COUNTIFS(Mutantes!$B$3:$B$402,$A7,Mutantes!$C$3:$C$402,$B7,Mutantes!$R$3:$R$402,C$3)</f>
        <v>75</v>
      </c>
      <c r="D7" s="11" t="n">
        <f aca="false">COUNTIFS(Mutantes!$B$3:$B$402,$A7,Mutantes!$C$3:$C$402,$B7,Mutantes!$R$3:$R$402,D$3)</f>
        <v>0</v>
      </c>
      <c r="E7" s="11" t="n">
        <f aca="false">COUNTIFS(Mutantes!$B$3:$B$402,$A7,Mutantes!$C$3:$C$402,$B7,Mutantes!$R$3:$R$402,E$3)</f>
        <v>0</v>
      </c>
      <c r="F7" s="11" t="n">
        <f aca="false">COUNTIFS(Mutantes!$B$3:$B$402,$A7,Mutantes!$C$3:$C$402,$B7,Mutantes!$R$3:$R$402,F$3)</f>
        <v>8</v>
      </c>
      <c r="G7" s="12" t="n">
        <f aca="false">SUM(C7:F7)</f>
        <v>83</v>
      </c>
      <c r="H7" s="11" t="n">
        <f aca="false">COUNTIFS(Mutantes!$B$3:$B$402,$A7,Mutantes!$C$3:$C$402,$B7,Mutantes!$P$3:$P$402,"&lt;&gt;")</f>
        <v>0</v>
      </c>
      <c r="I7" s="11" t="n">
        <f aca="false">COUNTIFS(Mutantes!$B$3:$B$402,$A7,Mutantes!$C$3:$C$402,$B7,Mutantes!$S$3:$S$402,"não")</f>
        <v>0</v>
      </c>
    </row>
    <row r="9" customFormat="false" ht="15" hidden="false" customHeight="false" outlineLevel="0" collapsed="false">
      <c r="A9" s="3" t="s">
        <v>604</v>
      </c>
    </row>
    <row r="10" customFormat="false" ht="15" hidden="false" customHeight="false" outlineLevel="0" collapsed="false">
      <c r="A10" s="13" t="s">
        <v>602</v>
      </c>
      <c r="B10" s="13" t="n">
        <f aca="false">SUM(H4:H7)</f>
        <v>0</v>
      </c>
    </row>
    <row r="11" customFormat="false" ht="15" hidden="false" customHeight="false" outlineLevel="0" collapsed="false">
      <c r="A11" s="13" t="s">
        <v>605</v>
      </c>
      <c r="B11" s="14" t="str">
        <f aca="false">IFERROR(1-SUM(I4:I7)/B10,"")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2026-10-15T21:55:02Z</dcterms:created>
  <dc:creator>openpyxl</dc:creator>
  <dc:description/>
  <dc:language>en-US</dc:language>
  <cp:lastModifiedBy/>
  <dcterms:modified xsi:type="dcterms:W3CDTF">2026-10-15T21:55:02Z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